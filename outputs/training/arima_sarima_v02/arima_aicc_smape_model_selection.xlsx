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U_DataScience\22_Data Mining Cup\TS-Forecasting-Project\outputs\training\arima_sarima_v02\"/>
    </mc:Choice>
  </mc:AlternateContent>
  <xr:revisionPtr revIDLastSave="0" documentId="13_ncr:1_{2D00186C-0279-4515-912F-DFEDE537B457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Selected_Config" sheetId="1" r:id="rId1"/>
    <sheet name="Combined_Evidence" sheetId="2" r:id="rId2"/>
    <sheet name="Rules" sheetId="3" r:id="rId3"/>
    <sheet name="AICC_Evidence" sheetId="4" r:id="rId4"/>
    <sheet name="Source_AICC" sheetId="5" r:id="rId5"/>
    <sheet name="Source_sMAPE" sheetId="6" r:id="rId6"/>
    <sheet name="Config_Pyth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8" i="4" l="1"/>
  <c r="I68" i="4" s="1"/>
  <c r="J68" i="4" s="1"/>
  <c r="H67" i="4"/>
  <c r="I67" i="4" s="1"/>
  <c r="J67" i="4" s="1"/>
  <c r="H66" i="4"/>
  <c r="I66" i="4" s="1"/>
  <c r="J66" i="4" s="1"/>
  <c r="H65" i="4"/>
  <c r="I65" i="4" s="1"/>
  <c r="J65" i="4" s="1"/>
  <c r="H64" i="4"/>
  <c r="I64" i="4" s="1"/>
  <c r="J64" i="4" s="1"/>
  <c r="H63" i="4"/>
  <c r="I63" i="4" s="1"/>
  <c r="J63" i="4" s="1"/>
  <c r="H62" i="4"/>
  <c r="I62" i="4" s="1"/>
  <c r="J62" i="4" s="1"/>
  <c r="H61" i="4"/>
  <c r="I61" i="4" s="1"/>
  <c r="J61" i="4" s="1"/>
  <c r="H60" i="4"/>
  <c r="I60" i="4" s="1"/>
  <c r="J60" i="4" s="1"/>
  <c r="H59" i="4"/>
  <c r="I59" i="4" s="1"/>
  <c r="J59" i="4" s="1"/>
  <c r="H58" i="4"/>
  <c r="I58" i="4" s="1"/>
  <c r="J58" i="4" s="1"/>
  <c r="H57" i="4"/>
  <c r="I57" i="4" s="1"/>
  <c r="J57" i="4" s="1"/>
  <c r="H56" i="4"/>
  <c r="I56" i="4" s="1"/>
  <c r="J56" i="4" s="1"/>
  <c r="H55" i="4"/>
  <c r="I55" i="4" s="1"/>
  <c r="J55" i="4" s="1"/>
  <c r="H54" i="4"/>
  <c r="I54" i="4" s="1"/>
  <c r="J54" i="4" s="1"/>
  <c r="H53" i="4"/>
  <c r="I53" i="4" s="1"/>
  <c r="J53" i="4" s="1"/>
  <c r="H52" i="4"/>
  <c r="I52" i="4" s="1"/>
  <c r="J52" i="4" s="1"/>
  <c r="H51" i="4"/>
  <c r="I51" i="4" s="1"/>
  <c r="J51" i="4" s="1"/>
  <c r="H50" i="4"/>
  <c r="I50" i="4" s="1"/>
  <c r="J50" i="4" s="1"/>
  <c r="H49" i="4"/>
  <c r="I49" i="4" s="1"/>
  <c r="J49" i="4" s="1"/>
  <c r="H48" i="4"/>
  <c r="I48" i="4" s="1"/>
  <c r="J48" i="4" s="1"/>
  <c r="H47" i="4"/>
  <c r="I47" i="4" s="1"/>
  <c r="J47" i="4" s="1"/>
  <c r="H46" i="4"/>
  <c r="I46" i="4" s="1"/>
  <c r="J46" i="4" s="1"/>
  <c r="H45" i="4"/>
  <c r="I45" i="4" s="1"/>
  <c r="J45" i="4" s="1"/>
  <c r="H44" i="4"/>
  <c r="I44" i="4" s="1"/>
  <c r="J44" i="4" s="1"/>
  <c r="H43" i="4"/>
  <c r="I43" i="4" s="1"/>
  <c r="J43" i="4" s="1"/>
  <c r="H42" i="4"/>
  <c r="I42" i="4" s="1"/>
  <c r="J42" i="4" s="1"/>
  <c r="H41" i="4"/>
  <c r="I41" i="4" s="1"/>
  <c r="J41" i="4" s="1"/>
  <c r="H40" i="4"/>
  <c r="I40" i="4" s="1"/>
  <c r="J40" i="4" s="1"/>
  <c r="H39" i="4"/>
  <c r="I39" i="4" s="1"/>
  <c r="J39" i="4" s="1"/>
  <c r="H38" i="4"/>
  <c r="I38" i="4" s="1"/>
  <c r="J38" i="4" s="1"/>
  <c r="H37" i="4"/>
  <c r="I37" i="4" s="1"/>
  <c r="J37" i="4" s="1"/>
  <c r="H36" i="4"/>
  <c r="I36" i="4" s="1"/>
  <c r="J36" i="4" s="1"/>
  <c r="H35" i="4"/>
  <c r="I35" i="4" s="1"/>
  <c r="J35" i="4" s="1"/>
  <c r="H34" i="4"/>
  <c r="I34" i="4" s="1"/>
  <c r="J34" i="4" s="1"/>
  <c r="H33" i="4"/>
  <c r="I33" i="4" s="1"/>
  <c r="J33" i="4" s="1"/>
  <c r="H32" i="4"/>
  <c r="I32" i="4" s="1"/>
  <c r="J32" i="4" s="1"/>
  <c r="H31" i="4"/>
  <c r="I31" i="4" s="1"/>
  <c r="J31" i="4" s="1"/>
  <c r="H30" i="4"/>
  <c r="I30" i="4" s="1"/>
  <c r="J30" i="4" s="1"/>
  <c r="H29" i="4"/>
  <c r="I29" i="4" s="1"/>
  <c r="J29" i="4" s="1"/>
  <c r="H28" i="4"/>
  <c r="I28" i="4" s="1"/>
  <c r="J28" i="4" s="1"/>
  <c r="H27" i="4"/>
  <c r="I27" i="4" s="1"/>
  <c r="J27" i="4" s="1"/>
  <c r="H26" i="4"/>
  <c r="I26" i="4" s="1"/>
  <c r="J26" i="4" s="1"/>
  <c r="H25" i="4"/>
  <c r="I25" i="4" s="1"/>
  <c r="J25" i="4" s="1"/>
  <c r="H24" i="4"/>
  <c r="I24" i="4" s="1"/>
  <c r="J24" i="4" s="1"/>
  <c r="H23" i="4"/>
  <c r="I23" i="4" s="1"/>
  <c r="J23" i="4" s="1"/>
  <c r="H22" i="4"/>
  <c r="I22" i="4" s="1"/>
  <c r="J22" i="4" s="1"/>
  <c r="H21" i="4"/>
  <c r="I21" i="4" s="1"/>
  <c r="J21" i="4" s="1"/>
  <c r="H20" i="4"/>
  <c r="I20" i="4" s="1"/>
  <c r="J20" i="4" s="1"/>
  <c r="H19" i="4"/>
  <c r="I19" i="4" s="1"/>
  <c r="J19" i="4" s="1"/>
  <c r="H18" i="4"/>
  <c r="I18" i="4" s="1"/>
  <c r="J18" i="4" s="1"/>
  <c r="H17" i="4"/>
  <c r="I17" i="4" s="1"/>
  <c r="J17" i="4" s="1"/>
  <c r="H16" i="4"/>
  <c r="I16" i="4" s="1"/>
  <c r="J16" i="4" s="1"/>
  <c r="H15" i="4"/>
  <c r="I15" i="4" s="1"/>
  <c r="J15" i="4" s="1"/>
  <c r="H14" i="4"/>
  <c r="I14" i="4" s="1"/>
  <c r="J14" i="4" s="1"/>
  <c r="H13" i="4"/>
  <c r="I13" i="4" s="1"/>
  <c r="J13" i="4" s="1"/>
  <c r="H12" i="4"/>
  <c r="I12" i="4" s="1"/>
  <c r="J12" i="4" s="1"/>
  <c r="H11" i="4"/>
  <c r="I11" i="4" s="1"/>
  <c r="J11" i="4" s="1"/>
  <c r="H10" i="4"/>
  <c r="I10" i="4" s="1"/>
  <c r="J10" i="4" s="1"/>
  <c r="H9" i="4"/>
  <c r="I9" i="4" s="1"/>
  <c r="J9" i="4" s="1"/>
  <c r="H8" i="4"/>
  <c r="I8" i="4" s="1"/>
  <c r="J8" i="4" s="1"/>
  <c r="H7" i="4"/>
  <c r="I7" i="4" s="1"/>
  <c r="J7" i="4" s="1"/>
  <c r="H6" i="4"/>
  <c r="I6" i="4" s="1"/>
  <c r="J6" i="4" s="1"/>
  <c r="H5" i="4"/>
  <c r="I5" i="4" s="1"/>
  <c r="J5" i="4" s="1"/>
  <c r="V168" i="2"/>
  <c r="J168" i="2"/>
  <c r="K168" i="2" s="1"/>
  <c r="L168" i="2" s="1"/>
  <c r="W168" i="2" s="1"/>
  <c r="V167" i="2"/>
  <c r="J167" i="2"/>
  <c r="K167" i="2" s="1"/>
  <c r="L167" i="2" s="1"/>
  <c r="W167" i="2" s="1"/>
  <c r="V166" i="2"/>
  <c r="J166" i="2"/>
  <c r="K166" i="2" s="1"/>
  <c r="L166" i="2" s="1"/>
  <c r="W166" i="2" s="1"/>
  <c r="V165" i="2"/>
  <c r="J165" i="2"/>
  <c r="K165" i="2" s="1"/>
  <c r="L165" i="2" s="1"/>
  <c r="W165" i="2" s="1"/>
  <c r="V164" i="2"/>
  <c r="J164" i="2"/>
  <c r="K164" i="2" s="1"/>
  <c r="L164" i="2" s="1"/>
  <c r="W164" i="2" s="1"/>
  <c r="V163" i="2"/>
  <c r="J163" i="2"/>
  <c r="K163" i="2" s="1"/>
  <c r="L163" i="2" s="1"/>
  <c r="W163" i="2" s="1"/>
  <c r="V162" i="2"/>
  <c r="J162" i="2"/>
  <c r="K162" i="2" s="1"/>
  <c r="L162" i="2" s="1"/>
  <c r="W162" i="2" s="1"/>
  <c r="V161" i="2"/>
  <c r="J161" i="2"/>
  <c r="K161" i="2" s="1"/>
  <c r="L161" i="2" s="1"/>
  <c r="W161" i="2" s="1"/>
  <c r="V160" i="2"/>
  <c r="J160" i="2"/>
  <c r="K160" i="2" s="1"/>
  <c r="L160" i="2" s="1"/>
  <c r="W160" i="2" s="1"/>
  <c r="V159" i="2"/>
  <c r="J159" i="2"/>
  <c r="K159" i="2" s="1"/>
  <c r="L159" i="2" s="1"/>
  <c r="W159" i="2" s="1"/>
  <c r="V158" i="2"/>
  <c r="J158" i="2"/>
  <c r="K158" i="2" s="1"/>
  <c r="L158" i="2" s="1"/>
  <c r="W158" i="2" s="1"/>
  <c r="V157" i="2"/>
  <c r="J157" i="2"/>
  <c r="K157" i="2" s="1"/>
  <c r="L157" i="2" s="1"/>
  <c r="W157" i="2" s="1"/>
  <c r="V156" i="2"/>
  <c r="J156" i="2"/>
  <c r="K156" i="2" s="1"/>
  <c r="L156" i="2" s="1"/>
  <c r="W156" i="2" s="1"/>
  <c r="V155" i="2"/>
  <c r="J155" i="2"/>
  <c r="K155" i="2" s="1"/>
  <c r="L155" i="2" s="1"/>
  <c r="W155" i="2" s="1"/>
  <c r="V154" i="2"/>
  <c r="J154" i="2"/>
  <c r="K154" i="2" s="1"/>
  <c r="L154" i="2" s="1"/>
  <c r="W154" i="2" s="1"/>
  <c r="V153" i="2"/>
  <c r="J153" i="2"/>
  <c r="K153" i="2" s="1"/>
  <c r="L153" i="2" s="1"/>
  <c r="W153" i="2" s="1"/>
  <c r="V152" i="2"/>
  <c r="J152" i="2"/>
  <c r="K152" i="2" s="1"/>
  <c r="L152" i="2" s="1"/>
  <c r="W152" i="2" s="1"/>
  <c r="V151" i="2"/>
  <c r="J151" i="2"/>
  <c r="K151" i="2" s="1"/>
  <c r="L151" i="2" s="1"/>
  <c r="W151" i="2" s="1"/>
  <c r="V150" i="2"/>
  <c r="J150" i="2"/>
  <c r="K150" i="2" s="1"/>
  <c r="L150" i="2" s="1"/>
  <c r="W150" i="2" s="1"/>
  <c r="V149" i="2"/>
  <c r="J149" i="2"/>
  <c r="K149" i="2" s="1"/>
  <c r="L149" i="2" s="1"/>
  <c r="W149" i="2" s="1"/>
  <c r="V148" i="2"/>
  <c r="J148" i="2"/>
  <c r="K148" i="2" s="1"/>
  <c r="L148" i="2" s="1"/>
  <c r="W148" i="2" s="1"/>
  <c r="V147" i="2"/>
  <c r="J147" i="2"/>
  <c r="K147" i="2" s="1"/>
  <c r="L147" i="2" s="1"/>
  <c r="W147" i="2" s="1"/>
  <c r="V146" i="2"/>
  <c r="J146" i="2"/>
  <c r="K146" i="2" s="1"/>
  <c r="L146" i="2" s="1"/>
  <c r="W146" i="2" s="1"/>
  <c r="V145" i="2"/>
  <c r="J145" i="2"/>
  <c r="K145" i="2" s="1"/>
  <c r="L145" i="2" s="1"/>
  <c r="W145" i="2" s="1"/>
  <c r="V144" i="2"/>
  <c r="J144" i="2"/>
  <c r="K144" i="2" s="1"/>
  <c r="L144" i="2" s="1"/>
  <c r="W144" i="2" s="1"/>
  <c r="V143" i="2"/>
  <c r="J143" i="2"/>
  <c r="K143" i="2" s="1"/>
  <c r="L143" i="2" s="1"/>
  <c r="W143" i="2" s="1"/>
  <c r="V142" i="2"/>
  <c r="J142" i="2"/>
  <c r="K142" i="2" s="1"/>
  <c r="L142" i="2" s="1"/>
  <c r="W142" i="2" s="1"/>
  <c r="V141" i="2"/>
  <c r="J141" i="2"/>
  <c r="K141" i="2" s="1"/>
  <c r="L141" i="2" s="1"/>
  <c r="W141" i="2" s="1"/>
  <c r="V140" i="2"/>
  <c r="J140" i="2"/>
  <c r="K140" i="2" s="1"/>
  <c r="L140" i="2" s="1"/>
  <c r="W140" i="2" s="1"/>
  <c r="V139" i="2"/>
  <c r="J139" i="2"/>
  <c r="K139" i="2" s="1"/>
  <c r="L139" i="2" s="1"/>
  <c r="W139" i="2" s="1"/>
  <c r="V138" i="2"/>
  <c r="J138" i="2"/>
  <c r="K138" i="2" s="1"/>
  <c r="L138" i="2" s="1"/>
  <c r="W138" i="2" s="1"/>
  <c r="V137" i="2"/>
  <c r="J137" i="2"/>
  <c r="K137" i="2" s="1"/>
  <c r="L137" i="2" s="1"/>
  <c r="W137" i="2" s="1"/>
  <c r="V136" i="2"/>
  <c r="J136" i="2"/>
  <c r="K136" i="2" s="1"/>
  <c r="L136" i="2" s="1"/>
  <c r="W136" i="2" s="1"/>
  <c r="V135" i="2"/>
  <c r="J135" i="2"/>
  <c r="K135" i="2" s="1"/>
  <c r="L135" i="2" s="1"/>
  <c r="W135" i="2" s="1"/>
  <c r="V134" i="2"/>
  <c r="J134" i="2"/>
  <c r="K134" i="2" s="1"/>
  <c r="L134" i="2" s="1"/>
  <c r="W134" i="2" s="1"/>
  <c r="V133" i="2"/>
  <c r="J133" i="2"/>
  <c r="K133" i="2" s="1"/>
  <c r="L133" i="2" s="1"/>
  <c r="W133" i="2" s="1"/>
  <c r="V132" i="2"/>
  <c r="J132" i="2"/>
  <c r="K132" i="2" s="1"/>
  <c r="L132" i="2" s="1"/>
  <c r="W132" i="2" s="1"/>
  <c r="V131" i="2"/>
  <c r="J131" i="2"/>
  <c r="K131" i="2" s="1"/>
  <c r="L131" i="2" s="1"/>
  <c r="W131" i="2" s="1"/>
  <c r="V130" i="2"/>
  <c r="J130" i="2"/>
  <c r="K130" i="2" s="1"/>
  <c r="L130" i="2" s="1"/>
  <c r="W130" i="2" s="1"/>
  <c r="V129" i="2"/>
  <c r="J129" i="2"/>
  <c r="K129" i="2" s="1"/>
  <c r="L129" i="2" s="1"/>
  <c r="W129" i="2" s="1"/>
  <c r="V128" i="2"/>
  <c r="J128" i="2"/>
  <c r="K128" i="2" s="1"/>
  <c r="L128" i="2" s="1"/>
  <c r="W128" i="2" s="1"/>
  <c r="V127" i="2"/>
  <c r="J127" i="2"/>
  <c r="K127" i="2" s="1"/>
  <c r="L127" i="2" s="1"/>
  <c r="W127" i="2" s="1"/>
  <c r="V126" i="2"/>
  <c r="K126" i="2"/>
  <c r="L126" i="2" s="1"/>
  <c r="W126" i="2" s="1"/>
  <c r="J126" i="2"/>
  <c r="V125" i="2"/>
  <c r="J125" i="2"/>
  <c r="K125" i="2" s="1"/>
  <c r="L125" i="2" s="1"/>
  <c r="W125" i="2" s="1"/>
  <c r="V124" i="2"/>
  <c r="J124" i="2"/>
  <c r="K124" i="2" s="1"/>
  <c r="L124" i="2" s="1"/>
  <c r="W124" i="2" s="1"/>
  <c r="V123" i="2"/>
  <c r="J123" i="2"/>
  <c r="K123" i="2" s="1"/>
  <c r="L123" i="2" s="1"/>
  <c r="W123" i="2" s="1"/>
  <c r="V122" i="2"/>
  <c r="J122" i="2"/>
  <c r="K122" i="2" s="1"/>
  <c r="L122" i="2" s="1"/>
  <c r="W122" i="2" s="1"/>
  <c r="V121" i="2"/>
  <c r="J121" i="2"/>
  <c r="K121" i="2" s="1"/>
  <c r="L121" i="2" s="1"/>
  <c r="W121" i="2" s="1"/>
  <c r="V120" i="2"/>
  <c r="J120" i="2"/>
  <c r="K120" i="2" s="1"/>
  <c r="L120" i="2" s="1"/>
  <c r="W120" i="2" s="1"/>
  <c r="V119" i="2"/>
  <c r="J119" i="2"/>
  <c r="K119" i="2" s="1"/>
  <c r="L119" i="2" s="1"/>
  <c r="W119" i="2" s="1"/>
  <c r="V118" i="2"/>
  <c r="J118" i="2"/>
  <c r="K118" i="2" s="1"/>
  <c r="L118" i="2" s="1"/>
  <c r="W118" i="2" s="1"/>
  <c r="V117" i="2"/>
  <c r="J117" i="2"/>
  <c r="K117" i="2" s="1"/>
  <c r="L117" i="2" s="1"/>
  <c r="W117" i="2" s="1"/>
  <c r="V116" i="2"/>
  <c r="J116" i="2"/>
  <c r="K116" i="2" s="1"/>
  <c r="L116" i="2" s="1"/>
  <c r="W116" i="2" s="1"/>
  <c r="V115" i="2"/>
  <c r="J115" i="2"/>
  <c r="K115" i="2" s="1"/>
  <c r="L115" i="2" s="1"/>
  <c r="W115" i="2" s="1"/>
  <c r="V114" i="2"/>
  <c r="J114" i="2"/>
  <c r="K114" i="2" s="1"/>
  <c r="L114" i="2" s="1"/>
  <c r="W114" i="2" s="1"/>
  <c r="V113" i="2"/>
  <c r="J113" i="2"/>
  <c r="K113" i="2" s="1"/>
  <c r="L113" i="2" s="1"/>
  <c r="W113" i="2" s="1"/>
  <c r="V112" i="2"/>
  <c r="J112" i="2"/>
  <c r="K112" i="2" s="1"/>
  <c r="L112" i="2" s="1"/>
  <c r="W112" i="2" s="1"/>
  <c r="V111" i="2"/>
  <c r="J111" i="2"/>
  <c r="K111" i="2" s="1"/>
  <c r="L111" i="2" s="1"/>
  <c r="W111" i="2" s="1"/>
  <c r="V110" i="2"/>
  <c r="J110" i="2"/>
  <c r="K110" i="2" s="1"/>
  <c r="L110" i="2" s="1"/>
  <c r="W110" i="2" s="1"/>
  <c r="V109" i="2"/>
  <c r="J109" i="2"/>
  <c r="K109" i="2" s="1"/>
  <c r="L109" i="2" s="1"/>
  <c r="W109" i="2" s="1"/>
  <c r="V108" i="2"/>
  <c r="J108" i="2"/>
  <c r="K108" i="2" s="1"/>
  <c r="L108" i="2" s="1"/>
  <c r="W108" i="2" s="1"/>
  <c r="V107" i="2"/>
  <c r="J107" i="2"/>
  <c r="K107" i="2" s="1"/>
  <c r="L107" i="2" s="1"/>
  <c r="W107" i="2" s="1"/>
  <c r="V106" i="2"/>
  <c r="J106" i="2"/>
  <c r="K106" i="2" s="1"/>
  <c r="L106" i="2" s="1"/>
  <c r="W106" i="2" s="1"/>
  <c r="V105" i="2"/>
  <c r="J105" i="2"/>
  <c r="K105" i="2" s="1"/>
  <c r="L105" i="2" s="1"/>
  <c r="W105" i="2" s="1"/>
  <c r="V104" i="2"/>
  <c r="J104" i="2"/>
  <c r="K104" i="2" s="1"/>
  <c r="L104" i="2" s="1"/>
  <c r="W104" i="2" s="1"/>
  <c r="V103" i="2"/>
  <c r="J103" i="2"/>
  <c r="K103" i="2" s="1"/>
  <c r="L103" i="2" s="1"/>
  <c r="W103" i="2" s="1"/>
  <c r="V102" i="2"/>
  <c r="J102" i="2"/>
  <c r="K102" i="2" s="1"/>
  <c r="L102" i="2" s="1"/>
  <c r="W102" i="2" s="1"/>
  <c r="V101" i="2"/>
  <c r="J101" i="2"/>
  <c r="K101" i="2" s="1"/>
  <c r="L101" i="2" s="1"/>
  <c r="W101" i="2" s="1"/>
  <c r="V100" i="2"/>
  <c r="J100" i="2"/>
  <c r="K100" i="2" s="1"/>
  <c r="L100" i="2" s="1"/>
  <c r="W100" i="2" s="1"/>
  <c r="V99" i="2"/>
  <c r="J99" i="2"/>
  <c r="K99" i="2" s="1"/>
  <c r="L99" i="2" s="1"/>
  <c r="W99" i="2" s="1"/>
  <c r="V98" i="2"/>
  <c r="J98" i="2"/>
  <c r="K98" i="2" s="1"/>
  <c r="L98" i="2" s="1"/>
  <c r="W98" i="2" s="1"/>
  <c r="V97" i="2"/>
  <c r="J97" i="2"/>
  <c r="K97" i="2" s="1"/>
  <c r="L97" i="2" s="1"/>
  <c r="W97" i="2" s="1"/>
  <c r="V96" i="2"/>
  <c r="J96" i="2"/>
  <c r="K96" i="2" s="1"/>
  <c r="L96" i="2" s="1"/>
  <c r="W96" i="2" s="1"/>
  <c r="V95" i="2"/>
  <c r="J95" i="2"/>
  <c r="K95" i="2" s="1"/>
  <c r="L95" i="2" s="1"/>
  <c r="W95" i="2" s="1"/>
  <c r="V94" i="2"/>
  <c r="J94" i="2"/>
  <c r="K94" i="2" s="1"/>
  <c r="L94" i="2" s="1"/>
  <c r="W94" i="2" s="1"/>
  <c r="V93" i="2"/>
  <c r="J93" i="2"/>
  <c r="K93" i="2" s="1"/>
  <c r="L93" i="2" s="1"/>
  <c r="W93" i="2" s="1"/>
  <c r="V92" i="2"/>
  <c r="J92" i="2"/>
  <c r="K92" i="2" s="1"/>
  <c r="L92" i="2" s="1"/>
  <c r="W92" i="2" s="1"/>
  <c r="V91" i="2"/>
  <c r="J91" i="2"/>
  <c r="K91" i="2" s="1"/>
  <c r="L91" i="2" s="1"/>
  <c r="W91" i="2" s="1"/>
  <c r="V90" i="2"/>
  <c r="J90" i="2"/>
  <c r="K90" i="2" s="1"/>
  <c r="L90" i="2" s="1"/>
  <c r="W90" i="2" s="1"/>
  <c r="V89" i="2"/>
  <c r="J89" i="2"/>
  <c r="K89" i="2" s="1"/>
  <c r="L89" i="2" s="1"/>
  <c r="W89" i="2" s="1"/>
  <c r="V88" i="2"/>
  <c r="J88" i="2"/>
  <c r="K88" i="2" s="1"/>
  <c r="L88" i="2" s="1"/>
  <c r="W88" i="2" s="1"/>
  <c r="V87" i="2"/>
  <c r="J87" i="2"/>
  <c r="K87" i="2" s="1"/>
  <c r="L87" i="2" s="1"/>
  <c r="W87" i="2" s="1"/>
  <c r="V86" i="2"/>
  <c r="K86" i="2"/>
  <c r="L86" i="2" s="1"/>
  <c r="W86" i="2" s="1"/>
  <c r="J86" i="2"/>
  <c r="V85" i="2"/>
  <c r="J85" i="2"/>
  <c r="K85" i="2" s="1"/>
  <c r="L85" i="2" s="1"/>
  <c r="W85" i="2" s="1"/>
  <c r="V84" i="2"/>
  <c r="J84" i="2"/>
  <c r="K84" i="2" s="1"/>
  <c r="L84" i="2" s="1"/>
  <c r="W84" i="2" s="1"/>
  <c r="V83" i="2"/>
  <c r="J83" i="2"/>
  <c r="K83" i="2" s="1"/>
  <c r="L83" i="2" s="1"/>
  <c r="W83" i="2" s="1"/>
  <c r="V82" i="2"/>
  <c r="J82" i="2"/>
  <c r="K82" i="2" s="1"/>
  <c r="L82" i="2" s="1"/>
  <c r="W82" i="2" s="1"/>
  <c r="V81" i="2"/>
  <c r="J81" i="2"/>
  <c r="K81" i="2" s="1"/>
  <c r="L81" i="2" s="1"/>
  <c r="W81" i="2" s="1"/>
  <c r="V80" i="2"/>
  <c r="J80" i="2"/>
  <c r="K80" i="2" s="1"/>
  <c r="L80" i="2" s="1"/>
  <c r="W80" i="2" s="1"/>
  <c r="V79" i="2"/>
  <c r="J79" i="2"/>
  <c r="K79" i="2" s="1"/>
  <c r="L79" i="2" s="1"/>
  <c r="W79" i="2" s="1"/>
  <c r="V78" i="2"/>
  <c r="J78" i="2"/>
  <c r="K78" i="2" s="1"/>
  <c r="L78" i="2" s="1"/>
  <c r="W78" i="2" s="1"/>
  <c r="V77" i="2"/>
  <c r="J77" i="2"/>
  <c r="K77" i="2" s="1"/>
  <c r="L77" i="2" s="1"/>
  <c r="W77" i="2" s="1"/>
  <c r="V76" i="2"/>
  <c r="J76" i="2"/>
  <c r="K76" i="2" s="1"/>
  <c r="L76" i="2" s="1"/>
  <c r="W76" i="2" s="1"/>
  <c r="V75" i="2"/>
  <c r="J75" i="2"/>
  <c r="K75" i="2" s="1"/>
  <c r="L75" i="2" s="1"/>
  <c r="W75" i="2" s="1"/>
  <c r="V74" i="2"/>
  <c r="J74" i="2"/>
  <c r="K74" i="2" s="1"/>
  <c r="L74" i="2" s="1"/>
  <c r="W74" i="2" s="1"/>
  <c r="V73" i="2"/>
  <c r="J73" i="2"/>
  <c r="K73" i="2" s="1"/>
  <c r="L73" i="2" s="1"/>
  <c r="W73" i="2" s="1"/>
  <c r="V72" i="2"/>
  <c r="J72" i="2"/>
  <c r="K72" i="2" s="1"/>
  <c r="L72" i="2" s="1"/>
  <c r="W72" i="2" s="1"/>
  <c r="V71" i="2"/>
  <c r="J71" i="2"/>
  <c r="K71" i="2" s="1"/>
  <c r="L71" i="2" s="1"/>
  <c r="W71" i="2" s="1"/>
  <c r="V70" i="2"/>
  <c r="J70" i="2"/>
  <c r="K70" i="2" s="1"/>
  <c r="L70" i="2" s="1"/>
  <c r="W70" i="2" s="1"/>
  <c r="V69" i="2"/>
  <c r="J69" i="2"/>
  <c r="K69" i="2" s="1"/>
  <c r="L69" i="2" s="1"/>
  <c r="W69" i="2" s="1"/>
  <c r="V68" i="2"/>
  <c r="J68" i="2"/>
  <c r="K68" i="2" s="1"/>
  <c r="L68" i="2" s="1"/>
  <c r="W68" i="2" s="1"/>
  <c r="V67" i="2"/>
  <c r="J67" i="2"/>
  <c r="K67" i="2" s="1"/>
  <c r="L67" i="2" s="1"/>
  <c r="W67" i="2" s="1"/>
  <c r="V66" i="2"/>
  <c r="J66" i="2"/>
  <c r="K66" i="2" s="1"/>
  <c r="L66" i="2" s="1"/>
  <c r="W66" i="2" s="1"/>
  <c r="V65" i="2"/>
  <c r="J65" i="2"/>
  <c r="K65" i="2" s="1"/>
  <c r="L65" i="2" s="1"/>
  <c r="W65" i="2" s="1"/>
  <c r="V64" i="2"/>
  <c r="J64" i="2"/>
  <c r="K64" i="2" s="1"/>
  <c r="L64" i="2" s="1"/>
  <c r="W64" i="2" s="1"/>
  <c r="W63" i="2"/>
  <c r="V63" i="2"/>
  <c r="J63" i="2"/>
  <c r="K63" i="2" s="1"/>
  <c r="L63" i="2" s="1"/>
  <c r="V62" i="2"/>
  <c r="J62" i="2"/>
  <c r="K62" i="2" s="1"/>
  <c r="L62" i="2" s="1"/>
  <c r="W62" i="2" s="1"/>
  <c r="V61" i="2"/>
  <c r="J61" i="2"/>
  <c r="K61" i="2" s="1"/>
  <c r="L61" i="2" s="1"/>
  <c r="W61" i="2" s="1"/>
  <c r="V60" i="2"/>
  <c r="J60" i="2"/>
  <c r="K60" i="2" s="1"/>
  <c r="L60" i="2" s="1"/>
  <c r="W60" i="2" s="1"/>
  <c r="V59" i="2"/>
  <c r="J59" i="2"/>
  <c r="K59" i="2" s="1"/>
  <c r="L59" i="2" s="1"/>
  <c r="W59" i="2" s="1"/>
  <c r="V58" i="2"/>
  <c r="J58" i="2"/>
  <c r="K58" i="2" s="1"/>
  <c r="L58" i="2" s="1"/>
  <c r="W58" i="2" s="1"/>
  <c r="V57" i="2"/>
  <c r="J57" i="2"/>
  <c r="K57" i="2" s="1"/>
  <c r="L57" i="2" s="1"/>
  <c r="W57" i="2" s="1"/>
  <c r="V56" i="2"/>
  <c r="J56" i="2"/>
  <c r="K56" i="2" s="1"/>
  <c r="L56" i="2" s="1"/>
  <c r="W56" i="2" s="1"/>
  <c r="V55" i="2"/>
  <c r="J55" i="2"/>
  <c r="K55" i="2" s="1"/>
  <c r="L55" i="2" s="1"/>
  <c r="W55" i="2" s="1"/>
  <c r="V54" i="2"/>
  <c r="J54" i="2"/>
  <c r="K54" i="2" s="1"/>
  <c r="L54" i="2" s="1"/>
  <c r="W54" i="2" s="1"/>
  <c r="V53" i="2"/>
  <c r="J53" i="2"/>
  <c r="K53" i="2" s="1"/>
  <c r="L53" i="2" s="1"/>
  <c r="W53" i="2" s="1"/>
  <c r="V52" i="2"/>
  <c r="J52" i="2"/>
  <c r="K52" i="2" s="1"/>
  <c r="L52" i="2" s="1"/>
  <c r="W52" i="2" s="1"/>
  <c r="V51" i="2"/>
  <c r="J51" i="2"/>
  <c r="K51" i="2" s="1"/>
  <c r="L51" i="2" s="1"/>
  <c r="W51" i="2" s="1"/>
  <c r="V50" i="2"/>
  <c r="J50" i="2"/>
  <c r="K50" i="2" s="1"/>
  <c r="L50" i="2" s="1"/>
  <c r="W50" i="2" s="1"/>
  <c r="V49" i="2"/>
  <c r="J49" i="2"/>
  <c r="K49" i="2" s="1"/>
  <c r="L49" i="2" s="1"/>
  <c r="W49" i="2" s="1"/>
  <c r="V48" i="2"/>
  <c r="J48" i="2"/>
  <c r="K48" i="2" s="1"/>
  <c r="L48" i="2" s="1"/>
  <c r="W48" i="2" s="1"/>
  <c r="V47" i="2"/>
  <c r="J47" i="2"/>
  <c r="K47" i="2" s="1"/>
  <c r="L47" i="2" s="1"/>
  <c r="W47" i="2" s="1"/>
  <c r="V46" i="2"/>
  <c r="J46" i="2"/>
  <c r="K46" i="2" s="1"/>
  <c r="L46" i="2" s="1"/>
  <c r="W46" i="2" s="1"/>
  <c r="V45" i="2"/>
  <c r="J45" i="2"/>
  <c r="K45" i="2" s="1"/>
  <c r="L45" i="2" s="1"/>
  <c r="W45" i="2" s="1"/>
  <c r="V44" i="2"/>
  <c r="J44" i="2"/>
  <c r="K44" i="2" s="1"/>
  <c r="L44" i="2" s="1"/>
  <c r="W44" i="2" s="1"/>
  <c r="V43" i="2"/>
  <c r="J43" i="2"/>
  <c r="K43" i="2" s="1"/>
  <c r="L43" i="2" s="1"/>
  <c r="W43" i="2" s="1"/>
  <c r="V42" i="2"/>
  <c r="J42" i="2"/>
  <c r="K42" i="2" s="1"/>
  <c r="L42" i="2" s="1"/>
  <c r="W42" i="2" s="1"/>
  <c r="V41" i="2"/>
  <c r="J41" i="2"/>
  <c r="K41" i="2" s="1"/>
  <c r="L41" i="2" s="1"/>
  <c r="W41" i="2" s="1"/>
  <c r="V40" i="2"/>
  <c r="J40" i="2"/>
  <c r="K40" i="2" s="1"/>
  <c r="L40" i="2" s="1"/>
  <c r="W40" i="2" s="1"/>
  <c r="V39" i="2"/>
  <c r="J39" i="2"/>
  <c r="K39" i="2" s="1"/>
  <c r="L39" i="2" s="1"/>
  <c r="W39" i="2" s="1"/>
  <c r="V38" i="2"/>
  <c r="J38" i="2"/>
  <c r="K38" i="2" s="1"/>
  <c r="L38" i="2" s="1"/>
  <c r="W38" i="2" s="1"/>
  <c r="V37" i="2"/>
  <c r="J37" i="2"/>
  <c r="K37" i="2" s="1"/>
  <c r="L37" i="2" s="1"/>
  <c r="W37" i="2" s="1"/>
  <c r="V36" i="2"/>
  <c r="J36" i="2"/>
  <c r="K36" i="2" s="1"/>
  <c r="L36" i="2" s="1"/>
  <c r="W36" i="2" s="1"/>
  <c r="V35" i="2"/>
  <c r="J35" i="2"/>
  <c r="K35" i="2" s="1"/>
  <c r="L35" i="2" s="1"/>
  <c r="W35" i="2" s="1"/>
  <c r="V34" i="2"/>
  <c r="J34" i="2"/>
  <c r="K34" i="2" s="1"/>
  <c r="L34" i="2" s="1"/>
  <c r="W34" i="2" s="1"/>
  <c r="V33" i="2"/>
  <c r="J33" i="2"/>
  <c r="K33" i="2" s="1"/>
  <c r="L33" i="2" s="1"/>
  <c r="W33" i="2" s="1"/>
  <c r="V32" i="2"/>
  <c r="J32" i="2"/>
  <c r="K32" i="2" s="1"/>
  <c r="L32" i="2" s="1"/>
  <c r="W32" i="2" s="1"/>
  <c r="V31" i="2"/>
  <c r="J31" i="2"/>
  <c r="K31" i="2" s="1"/>
  <c r="L31" i="2" s="1"/>
  <c r="W31" i="2" s="1"/>
  <c r="V30" i="2"/>
  <c r="J30" i="2"/>
  <c r="K30" i="2" s="1"/>
  <c r="L30" i="2" s="1"/>
  <c r="W30" i="2" s="1"/>
  <c r="V29" i="2"/>
  <c r="J29" i="2"/>
  <c r="K29" i="2" s="1"/>
  <c r="L29" i="2" s="1"/>
  <c r="W29" i="2" s="1"/>
  <c r="V28" i="2"/>
  <c r="J28" i="2"/>
  <c r="K28" i="2" s="1"/>
  <c r="L28" i="2" s="1"/>
  <c r="W28" i="2" s="1"/>
  <c r="V27" i="2"/>
  <c r="J27" i="2"/>
  <c r="K27" i="2" s="1"/>
  <c r="L27" i="2" s="1"/>
  <c r="W27" i="2" s="1"/>
  <c r="V26" i="2"/>
  <c r="J26" i="2"/>
  <c r="K26" i="2" s="1"/>
  <c r="L26" i="2" s="1"/>
  <c r="W26" i="2" s="1"/>
  <c r="V25" i="2"/>
  <c r="J25" i="2"/>
  <c r="K25" i="2" s="1"/>
  <c r="L25" i="2" s="1"/>
  <c r="W25" i="2" s="1"/>
  <c r="V24" i="2"/>
  <c r="J24" i="2"/>
  <c r="K24" i="2" s="1"/>
  <c r="L24" i="2" s="1"/>
  <c r="W24" i="2" s="1"/>
  <c r="V23" i="2"/>
  <c r="J23" i="2"/>
  <c r="K23" i="2" s="1"/>
  <c r="L23" i="2" s="1"/>
  <c r="W23" i="2" s="1"/>
  <c r="V22" i="2"/>
  <c r="J22" i="2"/>
  <c r="K22" i="2" s="1"/>
  <c r="L22" i="2" s="1"/>
  <c r="W22" i="2" s="1"/>
  <c r="V21" i="2"/>
  <c r="J21" i="2"/>
  <c r="K21" i="2" s="1"/>
  <c r="L21" i="2" s="1"/>
  <c r="W21" i="2" s="1"/>
  <c r="V20" i="2"/>
  <c r="J20" i="2"/>
  <c r="K20" i="2" s="1"/>
  <c r="L20" i="2" s="1"/>
  <c r="W20" i="2" s="1"/>
  <c r="V19" i="2"/>
  <c r="J19" i="2"/>
  <c r="K19" i="2" s="1"/>
  <c r="L19" i="2" s="1"/>
  <c r="W19" i="2" s="1"/>
  <c r="V18" i="2"/>
  <c r="J18" i="2"/>
  <c r="K18" i="2" s="1"/>
  <c r="L18" i="2" s="1"/>
  <c r="W18" i="2" s="1"/>
  <c r="V17" i="2"/>
  <c r="J17" i="2"/>
  <c r="K17" i="2" s="1"/>
  <c r="L17" i="2" s="1"/>
  <c r="W17" i="2" s="1"/>
  <c r="V16" i="2"/>
  <c r="J16" i="2"/>
  <c r="K16" i="2" s="1"/>
  <c r="L16" i="2" s="1"/>
  <c r="W16" i="2" s="1"/>
  <c r="V15" i="2"/>
  <c r="J15" i="2"/>
  <c r="K15" i="2" s="1"/>
  <c r="L15" i="2" s="1"/>
  <c r="W15" i="2" s="1"/>
  <c r="V14" i="2"/>
  <c r="J14" i="2"/>
  <c r="K14" i="2" s="1"/>
  <c r="L14" i="2" s="1"/>
  <c r="W14" i="2" s="1"/>
  <c r="V13" i="2"/>
  <c r="J13" i="2"/>
  <c r="K13" i="2" s="1"/>
  <c r="L13" i="2" s="1"/>
  <c r="W13" i="2" s="1"/>
  <c r="V12" i="2"/>
  <c r="J12" i="2"/>
  <c r="K12" i="2" s="1"/>
  <c r="L12" i="2" s="1"/>
  <c r="W12" i="2" s="1"/>
  <c r="V11" i="2"/>
  <c r="J11" i="2"/>
  <c r="K11" i="2" s="1"/>
  <c r="L11" i="2" s="1"/>
  <c r="W11" i="2" s="1"/>
  <c r="V10" i="2"/>
  <c r="J10" i="2"/>
  <c r="K10" i="2" s="1"/>
  <c r="L10" i="2" s="1"/>
  <c r="W10" i="2" s="1"/>
  <c r="V9" i="2"/>
  <c r="J9" i="2"/>
  <c r="K9" i="2" s="1"/>
  <c r="L9" i="2" s="1"/>
  <c r="W9" i="2" s="1"/>
  <c r="V8" i="2"/>
  <c r="J8" i="2"/>
  <c r="K8" i="2" s="1"/>
  <c r="L8" i="2" s="1"/>
  <c r="W8" i="2" s="1"/>
  <c r="V7" i="2"/>
  <c r="J7" i="2"/>
  <c r="K7" i="2" s="1"/>
  <c r="L7" i="2" s="1"/>
  <c r="W7" i="2" s="1"/>
  <c r="V6" i="2"/>
  <c r="J6" i="2"/>
  <c r="K6" i="2" s="1"/>
  <c r="L6" i="2" s="1"/>
  <c r="W6" i="2" s="1"/>
  <c r="V5" i="2"/>
  <c r="J5" i="2"/>
  <c r="K5" i="2" s="1"/>
  <c r="L5" i="2" s="1"/>
  <c r="W5" i="2" s="1"/>
</calcChain>
</file>

<file path=xl/sharedStrings.xml><?xml version="1.0" encoding="utf-8"?>
<sst xmlns="http://schemas.openxmlformats.org/spreadsheetml/2006/main" count="3595" uniqueCount="624">
  <si>
    <t>Final ARIMA / SARIMA configuration by material and forecast horizon</t>
  </si>
  <si>
    <t>Applied thresholds: relative sMAPE gap ≤ 1.0%; median within-method ΔAICc ≤ 2.0. Engine: statsmodels SARIMAX for both ARIMA and SARIMA.</t>
  </si>
  <si>
    <t>52 configurations selected: 51 meet both thresholds; 1 fallback is flagged for Material 9, Horizon 22.</t>
  </si>
  <si>
    <t>material</t>
  </si>
  <si>
    <t>horizon</t>
  </si>
  <si>
    <t>registry_model</t>
  </si>
  <si>
    <t>engine</t>
  </si>
  <si>
    <t>candidate</t>
  </si>
  <si>
    <t>order</t>
  </si>
  <si>
    <t>seasonal_order</t>
  </si>
  <si>
    <t>mean_smape</t>
  </si>
  <si>
    <t>relative_smape_gap</t>
  </si>
  <si>
    <t>median_delta_aicc</t>
  </si>
  <si>
    <t>complexity_pqPQ</t>
  </si>
  <si>
    <t>decision_status</t>
  </si>
  <si>
    <t>selection_reason</t>
  </si>
  <si>
    <t>arima</t>
  </si>
  <si>
    <t>SARIMAX</t>
  </si>
  <si>
    <t>sarima_112_100_5</t>
  </si>
  <si>
    <t>(1, 1, 2)</t>
  </si>
  <si>
    <t>(1, 0, 0, 5)</t>
  </si>
  <si>
    <t>joint_acceptable</t>
  </si>
  <si>
    <t>Both thresholds met; simplest eligible AR/MA structure selected.</t>
  </si>
  <si>
    <t>arima_111</t>
  </si>
  <si>
    <t>(1, 1, 1)</t>
  </si>
  <si>
    <t>(0, 0, 0, 0)</t>
  </si>
  <si>
    <t>arima_011</t>
  </si>
  <si>
    <t>(0, 1, 1)</t>
  </si>
  <si>
    <t>arima_102</t>
  </si>
  <si>
    <t>(1, 0, 2)</t>
  </si>
  <si>
    <t>arima_211</t>
  </si>
  <si>
    <t>(2, 1, 1)</t>
  </si>
  <si>
    <t>arima_012</t>
  </si>
  <si>
    <t>(0, 1, 2)</t>
  </si>
  <si>
    <t>sarima_112_001_5</t>
  </si>
  <si>
    <t>(0, 0, 1, 5)</t>
  </si>
  <si>
    <t>arima_500</t>
  </si>
  <si>
    <t>(5, 0, 0)</t>
  </si>
  <si>
    <t>sarima_113_002_5</t>
  </si>
  <si>
    <t>(1, 1, 3)</t>
  </si>
  <si>
    <t>(0, 0, 2, 5)</t>
  </si>
  <si>
    <t>arima_112</t>
  </si>
  <si>
    <t>fallback_best_smape</t>
  </si>
  <si>
    <t>No joint candidate; lowest sMAPE selected and AICc conflict flagged.</t>
  </si>
  <si>
    <t>arima_201</t>
  </si>
  <si>
    <t>(2, 0, 1)</t>
  </si>
  <si>
    <t>sarima_011_100_5</t>
  </si>
  <si>
    <t>arima_013</t>
  </si>
  <si>
    <t>(0, 1, 3)</t>
  </si>
  <si>
    <t>sarima_012_002_5</t>
  </si>
  <si>
    <t>arima_400</t>
  </si>
  <si>
    <t>(4, 0, 0)</t>
  </si>
  <si>
    <t>AICc + rolling-CV sMAPE evidence by material, horizon, and candidate</t>
  </si>
  <si>
    <t>Green selected rows form the final 52-entry configuration. AICc columns remain method-specific; sMAPE columns share the same CV design.</t>
  </si>
  <si>
    <t>model_type</t>
  </si>
  <si>
    <t>sum_smape</t>
  </si>
  <si>
    <t>folds</t>
  </si>
  <si>
    <t>best_smape</t>
  </si>
  <si>
    <t>smape_acceptable</t>
  </si>
  <si>
    <t>linear_aicc</t>
  </si>
  <si>
    <t>linear_delta</t>
  </si>
  <si>
    <t>pchip_aicc</t>
  </si>
  <si>
    <t>pchip_delta</t>
  </si>
  <si>
    <t>spline_aicc</t>
  </si>
  <si>
    <t>spline_delta</t>
  </si>
  <si>
    <t>aicc_evidence_count</t>
  </si>
  <si>
    <t>max_delta_aicc</t>
  </si>
  <si>
    <t>aicc_acceptable</t>
  </si>
  <si>
    <t>selected</t>
  </si>
  <si>
    <t>SARIMA</t>
  </si>
  <si>
    <t>ARIMA</t>
  </si>
  <si>
    <t>not_selected</t>
  </si>
  <si>
    <t>Outside the final eligible set.</t>
  </si>
  <si>
    <t>sarima_111_002_5</t>
  </si>
  <si>
    <t>arima_202</t>
  </si>
  <si>
    <t>(2, 0, 2)</t>
  </si>
  <si>
    <t>sarima_002_100_5</t>
  </si>
  <si>
    <t>(0, 0, 2)</t>
  </si>
  <si>
    <t>sarima_100_100_5</t>
  </si>
  <si>
    <t>(1, 0, 0)</t>
  </si>
  <si>
    <t>sarima_011_200_5</t>
  </si>
  <si>
    <t>(2, 0, 0, 5)</t>
  </si>
  <si>
    <t>sarima_011_001_5</t>
  </si>
  <si>
    <t>arima_113</t>
  </si>
  <si>
    <t>arima_311</t>
  </si>
  <si>
    <t>(3, 1, 1)</t>
  </si>
  <si>
    <t>sarima_111_001_5</t>
  </si>
  <si>
    <t>sarima_412_101_5</t>
  </si>
  <si>
    <t>(4, 1, 2)</t>
  </si>
  <si>
    <t>(1, 0, 1, 5)</t>
  </si>
  <si>
    <t>arima_411</t>
  </si>
  <si>
    <t>(4, 1, 1)</t>
  </si>
  <si>
    <t>sarima_312_101_5</t>
  </si>
  <si>
    <t>(3, 1, 2)</t>
  </si>
  <si>
    <t>Model selection rules and assumptions</t>
  </si>
  <si>
    <t>Parameter</t>
  </si>
  <si>
    <t>Applied value</t>
  </si>
  <si>
    <t>Interpretation</t>
  </si>
  <si>
    <t>Role in decision</t>
  </si>
  <si>
    <t>AICc delta limit</t>
  </si>
  <si>
    <t>ΔAICc ≤ 2 is treated as supported / practically tied.</t>
  </si>
  <si>
    <t>Candidate-level median within-method ΔAICc must be within this limit.</t>
  </si>
  <si>
    <t>Relative sMAPE tie limit</t>
  </si>
  <si>
    <t>A candidate within 1% of the lowest mean sMAPE is practically tied.</t>
  </si>
  <si>
    <t>Defines the sMAPE-competitive shortlist.</t>
  </si>
  <si>
    <t>Step</t>
  </si>
  <si>
    <t>Rule</t>
  </si>
  <si>
    <t>Why</t>
  </si>
  <si>
    <t>Output</t>
  </si>
  <si>
    <t>Compare AICc only inside the same interpolation method.</t>
  </si>
  <si>
    <t>Raw AICc levels from linear, pchip, and spline use different fitted series and are not directly comparable.</t>
  </si>
  <si>
    <t>Within-method ΔAICc</t>
  </si>
  <si>
    <t>Shortlist candidates within the relative sMAPE limit.</t>
  </si>
  <si>
    <t>sMAPE is the project forecast metric and is evaluated on the common CV design.</t>
  </si>
  <si>
    <t>sMAPE acceptable</t>
  </si>
  <si>
    <t>Require median within-method ΔAICc within the AICc limit.</t>
  </si>
  <si>
    <t>This retains candidates with reasonable likelihood support.</t>
  </si>
  <si>
    <t>Joint acceptable</t>
  </si>
  <si>
    <t>Among jointly acceptable candidates, choose minimum p+q+P+Q.</t>
  </si>
  <si>
    <t>AR/MA coefficient count is the tie-break measure of model simplicity.</t>
  </si>
  <si>
    <t>Selected configuration</t>
  </si>
  <si>
    <t>If no joint candidate exists, choose lowest sMAPE and flag it.</t>
  </si>
  <si>
    <t>A complete configuration is still produced, but the trade-off remains visible.</t>
  </si>
  <si>
    <t>Fallback status</t>
  </si>
  <si>
    <t>Important limitation</t>
  </si>
  <si>
    <t>The sMAPE file contains means and fold counts but no fold-level dispersion; therefore the 1% rule is a practical tolerance, not a statistical significance test.</t>
  </si>
  <si>
    <t>The selected configuration uses the SARIMAX engine for all candidates; ordinary ARIMA uses seasonal_order=(0, 0, 0, 0).</t>
  </si>
  <si>
    <t>Candidate-level AICc evidence</t>
  </si>
  <si>
    <t>Each ΔAICc is calculated only against candidates fitted with the same material and interpolation method.</t>
  </si>
  <si>
    <t>imputation_method</t>
  </si>
  <si>
    <t>source_run</t>
  </si>
  <si>
    <t>aicc</t>
  </si>
  <si>
    <t>method_best_aicc</t>
  </si>
  <si>
    <t>delta_from_method_best</t>
  </si>
  <si>
    <t>aicc_support</t>
  </si>
  <si>
    <t>linear</t>
  </si>
  <si>
    <t>seasonal_auto</t>
  </si>
  <si>
    <t>nonseasonal_auto</t>
  </si>
  <si>
    <t>pchip</t>
  </si>
  <si>
    <t>spline</t>
  </si>
  <si>
    <t>arima_order</t>
  </si>
  <si>
    <t>sarima_order</t>
  </si>
  <si>
    <t>sarima_seasonal_order</t>
  </si>
  <si>
    <t>arima_aicc</t>
  </si>
  <si>
    <t>sarima_aicc</t>
  </si>
  <si>
    <t>delta_aicc</t>
  </si>
  <si>
    <t>aicc_result</t>
  </si>
  <si>
    <t>seasonal_result</t>
  </si>
  <si>
    <t>1</t>
  </si>
  <si>
    <t>-3842.27</t>
  </si>
  <si>
    <t>-3844.78</t>
  </si>
  <si>
    <t>-2.51</t>
  </si>
  <si>
    <t>SARIMA lower</t>
  </si>
  <si>
    <t>Seasonal terms selected</t>
  </si>
  <si>
    <t>-3836.025</t>
  </si>
  <si>
    <t>-3836.968</t>
  </si>
  <si>
    <t>-0.943</t>
  </si>
  <si>
    <t>-3857.196</t>
  </si>
  <si>
    <t>-3858.851</t>
  </si>
  <si>
    <t>-1.655</t>
  </si>
  <si>
    <t>2</t>
  </si>
  <si>
    <t>(0, 0, 0, 5)</t>
  </si>
  <si>
    <t>-4426.001</t>
  </si>
  <si>
    <t>0.0</t>
  </si>
  <si>
    <t>Tie</t>
  </si>
  <si>
    <t>No seasonal terms</t>
  </si>
  <si>
    <t>-4425.005</t>
  </si>
  <si>
    <t>-4432.271</t>
  </si>
  <si>
    <t>3</t>
  </si>
  <si>
    <t>-4494.561</t>
  </si>
  <si>
    <t>-4495.978</t>
  </si>
  <si>
    <t>-1.417</t>
  </si>
  <si>
    <t>-4479.282</t>
  </si>
  <si>
    <t>-4480.862</t>
  </si>
  <si>
    <t>-1.58</t>
  </si>
  <si>
    <t>-4529.137</t>
  </si>
  <si>
    <t>-4530.517</t>
  </si>
  <si>
    <t>-1.38</t>
  </si>
  <si>
    <t>4</t>
  </si>
  <si>
    <t>-3772.007</t>
  </si>
  <si>
    <t>-3771.119</t>
  </si>
  <si>
    <t>-3808.904</t>
  </si>
  <si>
    <t>5</t>
  </si>
  <si>
    <t>-4942.74</t>
  </si>
  <si>
    <t>-4907.391</t>
  </si>
  <si>
    <t>35.35</t>
  </si>
  <si>
    <t>ARIMA lower</t>
  </si>
  <si>
    <t>-4940.97</t>
  </si>
  <si>
    <t>-4836.352</t>
  </si>
  <si>
    <t>104.618</t>
  </si>
  <si>
    <t>-4948.905</t>
  </si>
  <si>
    <t>-4853.315</t>
  </si>
  <si>
    <t>95.589</t>
  </si>
  <si>
    <t>6</t>
  </si>
  <si>
    <t>-6105.423</t>
  </si>
  <si>
    <t>-6094.144</t>
  </si>
  <si>
    <t>-6152.064</t>
  </si>
  <si>
    <t>-6150.469</t>
  </si>
  <si>
    <t>1.595</t>
  </si>
  <si>
    <t>7</t>
  </si>
  <si>
    <t>-7430.791</t>
  </si>
  <si>
    <t>-7439.28</t>
  </si>
  <si>
    <t>-8.489</t>
  </si>
  <si>
    <t>-7435.07</t>
  </si>
  <si>
    <t>-7436.118</t>
  </si>
  <si>
    <t>-1.048</t>
  </si>
  <si>
    <t>-7458.368</t>
  </si>
  <si>
    <t>8</t>
  </si>
  <si>
    <t>-6206.354</t>
  </si>
  <si>
    <t>-6205.341</t>
  </si>
  <si>
    <t>-6206.554</t>
  </si>
  <si>
    <t>-1.214</t>
  </si>
  <si>
    <t>-6216.733</t>
  </si>
  <si>
    <t>-6217.242</t>
  </si>
  <si>
    <t>-0.509</t>
  </si>
  <si>
    <t>9</t>
  </si>
  <si>
    <t>-5830.952</t>
  </si>
  <si>
    <t>-5828.825</t>
  </si>
  <si>
    <t>-5821.445</t>
  </si>
  <si>
    <t>7.38</t>
  </si>
  <si>
    <t>-5834.714</t>
  </si>
  <si>
    <t>10</t>
  </si>
  <si>
    <t>-4245.561</t>
  </si>
  <si>
    <t>-4241.258</t>
  </si>
  <si>
    <t>-4241.387</t>
  </si>
  <si>
    <t>-0.129</t>
  </si>
  <si>
    <t>-4258.77</t>
  </si>
  <si>
    <t>11</t>
  </si>
  <si>
    <t>-4965.865</t>
  </si>
  <si>
    <t>-4972.129</t>
  </si>
  <si>
    <t>-6.264</t>
  </si>
  <si>
    <t>-4964.025</t>
  </si>
  <si>
    <t>-4970.147</t>
  </si>
  <si>
    <t>-6.121</t>
  </si>
  <si>
    <t>-4968.185</t>
  </si>
  <si>
    <t>-4971.144</t>
  </si>
  <si>
    <t>-2.958</t>
  </si>
  <si>
    <t>12</t>
  </si>
  <si>
    <t>-7089.26</t>
  </si>
  <si>
    <t>-7087.993</t>
  </si>
  <si>
    <t>1.267</t>
  </si>
  <si>
    <t>-7082.121</t>
  </si>
  <si>
    <t>-7081.274</t>
  </si>
  <si>
    <t>0.847</t>
  </si>
  <si>
    <t>-7113.162</t>
  </si>
  <si>
    <t>-7119.655</t>
  </si>
  <si>
    <t>-6.493</t>
  </si>
  <si>
    <t>13</t>
  </si>
  <si>
    <t>-2466.073</t>
  </si>
  <si>
    <t>-2477.266</t>
  </si>
  <si>
    <t>-11.193</t>
  </si>
  <si>
    <t>-2462.339</t>
  </si>
  <si>
    <t>-2467.899</t>
  </si>
  <si>
    <t>-5.56</t>
  </si>
  <si>
    <t>-2491.09</t>
  </si>
  <si>
    <t>-2495.423</t>
  </si>
  <si>
    <t>-4.333</t>
  </si>
  <si>
    <t>number_of_folds</t>
  </si>
  <si>
    <t>0.10521148696882493</t>
  </si>
  <si>
    <t>2.8407101481582733</t>
  </si>
  <si>
    <t>27</t>
  </si>
  <si>
    <t>0.10202196839480403</t>
  </si>
  <si>
    <t>2.7545931466597087</t>
  </si>
  <si>
    <t>0.1361064845120819</t>
  </si>
  <si>
    <t>3.6748750818262113</t>
  </si>
  <si>
    <t>0.1557666274815043</t>
  </si>
  <si>
    <t>4.205698942000616</t>
  </si>
  <si>
    <t>0.15529330892651383</t>
  </si>
  <si>
    <t>4.192919341015873</t>
  </si>
  <si>
    <t>0.15993545953300364</t>
  </si>
  <si>
    <t>4.318257407391099</t>
  </si>
  <si>
    <t>0.16198423221149152</t>
  </si>
  <si>
    <t>4.3735742697102715</t>
  </si>
  <si>
    <t>0.10261218243624201</t>
  </si>
  <si>
    <t>2.7705289257785344</t>
  </si>
  <si>
    <t>0.10228087314707242</t>
  </si>
  <si>
    <t>2.761583574970955</t>
  </si>
  <si>
    <t>0.1016655219908528</t>
  </si>
  <si>
    <t>2.7449690937530256</t>
  </si>
  <si>
    <t>0.1253999214334</t>
  </si>
  <si>
    <t>3.3857978787018004</t>
  </si>
  <si>
    <t>0.17351136103266682</t>
  </si>
  <si>
    <t>4.684806747882004</t>
  </si>
  <si>
    <t>0.12748419398297053</t>
  </si>
  <si>
    <t>3.4420732375402046</t>
  </si>
  <si>
    <t>0.12703397368823138</t>
  </si>
  <si>
    <t>3.4299172895822476</t>
  </si>
  <si>
    <t>0.12713720137898424</t>
  </si>
  <si>
    <t>3.432704437232575</t>
  </si>
  <si>
    <t>0.24814180026539318</t>
  </si>
  <si>
    <t>6.699828607165616</t>
  </si>
  <si>
    <t>0.24803441374035734</t>
  </si>
  <si>
    <t>6.696929170989648</t>
  </si>
  <si>
    <t>0.24812557908265867</t>
  </si>
  <si>
    <t>6.699390635231784</t>
  </si>
  <si>
    <t>0.24812304424412823</t>
  </si>
  <si>
    <t>6.6993221945914625</t>
  </si>
  <si>
    <t>0.1788917702269508</t>
  </si>
  <si>
    <t>4.8300777961276715</t>
  </si>
  <si>
    <t>0.17892216117521262</t>
  </si>
  <si>
    <t>4.830898351730741</t>
  </si>
  <si>
    <t>0.17960774078374817</t>
  </si>
  <si>
    <t>4.8494090011612005</t>
  </si>
  <si>
    <t>0.17926772876915958</t>
  </si>
  <si>
    <t>4.840228676767309</t>
  </si>
  <si>
    <t>0.1804563763589723</t>
  </si>
  <si>
    <t>4.872322161692252</t>
  </si>
  <si>
    <t>0.18006531745201038</t>
  </si>
  <si>
    <t>4.86176357120428</t>
  </si>
  <si>
    <t>0.17985228935581818</t>
  </si>
  <si>
    <t>4.856011812607091</t>
  </si>
  <si>
    <t>0.1799565438426663</t>
  </si>
  <si>
    <t>4.85882668375199</t>
  </si>
  <si>
    <t>0.11002942704314468</t>
  </si>
  <si>
    <t>2.9707945301649064</t>
  </si>
  <si>
    <t>0.11016819274413309</t>
  </si>
  <si>
    <t>2.9745412040915933</t>
  </si>
  <si>
    <t>0.41400676288053945</t>
  </si>
  <si>
    <t>11.178182597774565</t>
  </si>
  <si>
    <t>0.4129154965754517</t>
  </si>
  <si>
    <t>11.148718407537196</t>
  </si>
  <si>
    <t>0.40762160993020236</t>
  </si>
  <si>
    <t>11.005783468115464</t>
  </si>
  <si>
    <t>0.4299203548162892</t>
  </si>
  <si>
    <t>11.607849580039808</t>
  </si>
  <si>
    <t>1.1844397929467065</t>
  </si>
  <si>
    <t>31.979874409561074</t>
  </si>
  <si>
    <t>1.0953151978342746</t>
  </si>
  <si>
    <t>29.573510341525413</t>
  </si>
  <si>
    <t>1.078337675912127</t>
  </si>
  <si>
    <t>29.115117249627428</t>
  </si>
  <si>
    <t>1.835794538950866</t>
  </si>
  <si>
    <t>49.566452551673386</t>
  </si>
  <si>
    <t>1.831899542843541</t>
  </si>
  <si>
    <t>49.4612876567756</t>
  </si>
  <si>
    <t>1.8399793470749715</t>
  </si>
  <si>
    <t>49.67944237102423</t>
  </si>
  <si>
    <t>1.8350410591926913</t>
  </si>
  <si>
    <t>49.546108598202665</t>
  </si>
  <si>
    <t>1.830048542237124</t>
  </si>
  <si>
    <t>49.41131064040235</t>
  </si>
  <si>
    <t>22</t>
  </si>
  <si>
    <t>0.11212367365544544</t>
  </si>
  <si>
    <t>1.3454840838653452</t>
  </si>
  <si>
    <t>0.11270671874625149</t>
  </si>
  <si>
    <t>1.3524806249550179</t>
  </si>
  <si>
    <t>0.15138455843837456</t>
  </si>
  <si>
    <t>1.8166147012604947</t>
  </si>
  <si>
    <t>0.15036971182296696</t>
  </si>
  <si>
    <t>1.8044365418756037</t>
  </si>
  <si>
    <t>0.1505425952187681</t>
  </si>
  <si>
    <t>1.806511142625217</t>
  </si>
  <si>
    <t>0.15612137528269088</t>
  </si>
  <si>
    <t>1.8734565033922905</t>
  </si>
  <si>
    <t>0.15827457145700244</t>
  </si>
  <si>
    <t>1.8992948574840294</t>
  </si>
  <si>
    <t>0.11005507642166203</t>
  </si>
  <si>
    <t>1.3206609170599444</t>
  </si>
  <si>
    <t>0.10987774243266575</t>
  </si>
  <si>
    <t>1.318532909191989</t>
  </si>
  <si>
    <t>0.12662012218875357</t>
  </si>
  <si>
    <t>1.5194414662650428</t>
  </si>
  <si>
    <t>0.16209923722941114</t>
  </si>
  <si>
    <t>1.9451908467529337</t>
  </si>
  <si>
    <t>0.28420203940828037</t>
  </si>
  <si>
    <t>3.4104244728993645</t>
  </si>
  <si>
    <t>0.13264391141095774</t>
  </si>
  <si>
    <t>1.5917269369314928</t>
  </si>
  <si>
    <t>0.13356487069835168</t>
  </si>
  <si>
    <t>1.60277844838022</t>
  </si>
  <si>
    <t>0.1325718449012022</t>
  </si>
  <si>
    <t>1.5908621388144262</t>
  </si>
  <si>
    <t>0.24688156110213597</t>
  </si>
  <si>
    <t>2.9625787332256315</t>
  </si>
  <si>
    <t>0.2470678589457899</t>
  </si>
  <si>
    <t>2.964814307349479</t>
  </si>
  <si>
    <t>0.24700366220651268</t>
  </si>
  <si>
    <t>2.964043946478152</t>
  </si>
  <si>
    <t>0.24669976202978472</t>
  </si>
  <si>
    <t>2.9603971443574166</t>
  </si>
  <si>
    <t>0.20673829575525648</t>
  </si>
  <si>
    <t>2.480859549063078</t>
  </si>
  <si>
    <t>0.20499998014250184</t>
  </si>
  <si>
    <t>2.459999761710022</t>
  </si>
  <si>
    <t>0.20449846377391287</t>
  </si>
  <si>
    <t>2.4539815652869543</t>
  </si>
  <si>
    <t>0.20582103163633458</t>
  </si>
  <si>
    <t>2.469852379636015</t>
  </si>
  <si>
    <t>0.1995897664498648</t>
  </si>
  <si>
    <t>2.3950771973983778</t>
  </si>
  <si>
    <t>0.20194008716666878</t>
  </si>
  <si>
    <t>2.4232810460000254</t>
  </si>
  <si>
    <t>0.20180281367017527</t>
  </si>
  <si>
    <t>2.4216337640421033</t>
  </si>
  <si>
    <t>0.20233806788126693</t>
  </si>
  <si>
    <t>2.428056814575203</t>
  </si>
  <si>
    <t>0.1219848497445063</t>
  </si>
  <si>
    <t>1.4638181969340756</t>
  </si>
  <si>
    <t>0.12209426273499058</t>
  </si>
  <si>
    <t>1.465131152819887</t>
  </si>
  <si>
    <t>0.4980168275029117</t>
  </si>
  <si>
    <t>5.97620193003494</t>
  </si>
  <si>
    <t>0.4921503429785603</t>
  </si>
  <si>
    <t>5.905804115742724</t>
  </si>
  <si>
    <t>0.5068711443292897</t>
  </si>
  <si>
    <t>6.082453731951476</t>
  </si>
  <si>
    <t>0.4419396006862182</t>
  </si>
  <si>
    <t>5.303275208234618</t>
  </si>
  <si>
    <t>1.2108263185232941</t>
  </si>
  <si>
    <t>14.52991582227953</t>
  </si>
  <si>
    <t>1.276434841044004</t>
  </si>
  <si>
    <t>15.317218092528048</t>
  </si>
  <si>
    <t>1.296698658319656</t>
  </si>
  <si>
    <t>15.560383899835873</t>
  </si>
  <si>
    <t>1.8371128956032188</t>
  </si>
  <si>
    <t>22.045354747238626</t>
  </si>
  <si>
    <t>1.8307579847055118</t>
  </si>
  <si>
    <t>21.96909581646614</t>
  </si>
  <si>
    <t>1.8312958445882925</t>
  </si>
  <si>
    <t>21.97555013505951</t>
  </si>
  <si>
    <t>1.8315826375107482</t>
  </si>
  <si>
    <t>21.97899165012898</t>
  </si>
  <si>
    <t>1.8283334829996676</t>
  </si>
  <si>
    <t>21.94000179599601</t>
  </si>
  <si>
    <t>66</t>
  </si>
  <si>
    <t>0.13350772024666463</t>
  </si>
  <si>
    <t>0.5340308809866585</t>
  </si>
  <si>
    <t>0.11840535962003326</t>
  </si>
  <si>
    <t>0.47362143848013305</t>
  </si>
  <si>
    <t>0.21126487747529032</t>
  </si>
  <si>
    <t>0.8450595099011613</t>
  </si>
  <si>
    <t>0.16340872311354604</t>
  </si>
  <si>
    <t>0.6536348924541842</t>
  </si>
  <si>
    <t>0.16396346189337424</t>
  </si>
  <si>
    <t>0.655853847573497</t>
  </si>
  <si>
    <t>0.16683648560526174</t>
  </si>
  <si>
    <t>0.667345942421047</t>
  </si>
  <si>
    <t>0.16723508004649887</t>
  </si>
  <si>
    <t>0.6689403201859955</t>
  </si>
  <si>
    <t>0.11691107319935616</t>
  </si>
  <si>
    <t>0.46764429279742464</t>
  </si>
  <si>
    <t>0.11734161127668419</t>
  </si>
  <si>
    <t>0.46936644510673675</t>
  </si>
  <si>
    <t>0.177519631431857</t>
  </si>
  <si>
    <t>0.710078525727428</t>
  </si>
  <si>
    <t>0.28828541955565523</t>
  </si>
  <si>
    <t>1.153141678222621</t>
  </si>
  <si>
    <t>0.7458750103289497</t>
  </si>
  <si>
    <t>2.9835000413157986</t>
  </si>
  <si>
    <t>0.13430140894305267</t>
  </si>
  <si>
    <t>0.5372056357722107</t>
  </si>
  <si>
    <t>0.13565142906072963</t>
  </si>
  <si>
    <t>0.5426057162429185</t>
  </si>
  <si>
    <t>0.13443626812565418</t>
  </si>
  <si>
    <t>0.5377450725026167</t>
  </si>
  <si>
    <t>0.2869042683067956</t>
  </si>
  <si>
    <t>1.1476170732271824</t>
  </si>
  <si>
    <t>0.28760737239271433</t>
  </si>
  <si>
    <t>1.1504294895708573</t>
  </si>
  <si>
    <t>0.28746850292694875</t>
  </si>
  <si>
    <t>1.149874011707795</t>
  </si>
  <si>
    <t>0.283922662279215</t>
  </si>
  <si>
    <t>1.13569064911686</t>
  </si>
  <si>
    <t>0.23954702074094342</t>
  </si>
  <si>
    <t>0.9581880829637737</t>
  </si>
  <si>
    <t>0.23464432198390267</t>
  </si>
  <si>
    <t>0.9385772879356107</t>
  </si>
  <si>
    <t>0.23370610653744334</t>
  </si>
  <si>
    <t>0.9348244261497733</t>
  </si>
  <si>
    <t>0.23817105766625424</t>
  </si>
  <si>
    <t>0.952684230665017</t>
  </si>
  <si>
    <t>0.2957994609664306</t>
  </si>
  <si>
    <t>1.1831978438657225</t>
  </si>
  <si>
    <t>0.29597126746621355</t>
  </si>
  <si>
    <t>1.1838850698648542</t>
  </si>
  <si>
    <t>0.29628027321367123</t>
  </si>
  <si>
    <t>1.185121092854685</t>
  </si>
  <si>
    <t>0.2943467550012117</t>
  </si>
  <si>
    <t>1.1773870200048469</t>
  </si>
  <si>
    <t>0.13890301493338186</t>
  </si>
  <si>
    <t>0.5556120597335275</t>
  </si>
  <si>
    <t>0.137502509731224</t>
  </si>
  <si>
    <t>0.550010038924896</t>
  </si>
  <si>
    <t>0.4818398057447094</t>
  </si>
  <si>
    <t>1.9273592229788377</t>
  </si>
  <si>
    <t>0.48272645247145285</t>
  </si>
  <si>
    <t>1.9309058098858114</t>
  </si>
  <si>
    <t>0.4779835687027334</t>
  </si>
  <si>
    <t>1.9119342748109336</t>
  </si>
  <si>
    <t>0.4738040052501642</t>
  </si>
  <si>
    <t>1.8952160210006568</t>
  </si>
  <si>
    <t>1.213837438608752</t>
  </si>
  <si>
    <t>4.855349754435008</t>
  </si>
  <si>
    <t>1.1562194463586306</t>
  </si>
  <si>
    <t>4.624877785434522</t>
  </si>
  <si>
    <t>1.179459880329859</t>
  </si>
  <si>
    <t>4.717839521319436</t>
  </si>
  <si>
    <t>1.8464071068313896</t>
  </si>
  <si>
    <t>7.385628427325559</t>
  </si>
  <si>
    <t>1.8449023581651272</t>
  </si>
  <si>
    <t>7.379609432660509</t>
  </si>
  <si>
    <t>1.845651860690773</t>
  </si>
  <si>
    <t>7.382607442763092</t>
  </si>
  <si>
    <t>1.8446865811578712</t>
  </si>
  <si>
    <t>7.378746324631485</t>
  </si>
  <si>
    <t>1.844903759734721</t>
  </si>
  <si>
    <t>7.379615038938884</t>
  </si>
  <si>
    <t>132</t>
  </si>
  <si>
    <t>0.15547893407594704</t>
  </si>
  <si>
    <t>0.3109578681518941</t>
  </si>
  <si>
    <t>0.16281477094488106</t>
  </si>
  <si>
    <t>0.3256295418897621</t>
  </si>
  <si>
    <t>0.19188415806862227</t>
  </si>
  <si>
    <t>0.38376831613724455</t>
  </si>
  <si>
    <t>0.15601655488874028</t>
  </si>
  <si>
    <t>0.31203310977748056</t>
  </si>
  <si>
    <t>0.15624916375857784</t>
  </si>
  <si>
    <t>0.31249832751715567</t>
  </si>
  <si>
    <t>0.17658098371787387</t>
  </si>
  <si>
    <t>0.35316196743574774</t>
  </si>
  <si>
    <t>0.17296132361809313</t>
  </si>
  <si>
    <t>0.34592264723618626</t>
  </si>
  <si>
    <t>0.13982612161879876</t>
  </si>
  <si>
    <t>0.2796522432375975</t>
  </si>
  <si>
    <t>0.14043434281187836</t>
  </si>
  <si>
    <t>0.2808686856237567</t>
  </si>
  <si>
    <t>0.26308645895209426</t>
  </si>
  <si>
    <t>0.5261729179041885</t>
  </si>
  <si>
    <t>0.4795334491257026</t>
  </si>
  <si>
    <t>0.9590668982514052</t>
  </si>
  <si>
    <t>1.2111232010534616</t>
  </si>
  <si>
    <t>2.422246402106923</t>
  </si>
  <si>
    <t>0.16240691905087826</t>
  </si>
  <si>
    <t>0.3248138381017565</t>
  </si>
  <si>
    <t>0.16564264134571388</t>
  </si>
  <si>
    <t>0.33128528269142776</t>
  </si>
  <si>
    <t>0.1622658222013576</t>
  </si>
  <si>
    <t>0.3245316444027152</t>
  </si>
  <si>
    <t>0.3557846574443085</t>
  </si>
  <si>
    <t>0.711569314888617</t>
  </si>
  <si>
    <t>0.35535796326374386</t>
  </si>
  <si>
    <t>0.7107159265274877</t>
  </si>
  <si>
    <t>0.3559817136009378</t>
  </si>
  <si>
    <t>0.7119634272018756</t>
  </si>
  <si>
    <t>0.3493899675586827</t>
  </si>
  <si>
    <t>0.6987799351173654</t>
  </si>
  <si>
    <t>0.3013157212693375</t>
  </si>
  <si>
    <t>0.602631442538675</t>
  </si>
  <si>
    <t>0.28943159147806785</t>
  </si>
  <si>
    <t>0.5788631829561357</t>
  </si>
  <si>
    <t>0.28750623799453445</t>
  </si>
  <si>
    <t>0.5750124759890689</t>
  </si>
  <si>
    <t>0.2981026590514647</t>
  </si>
  <si>
    <t>0.5962053181029294</t>
  </si>
  <si>
    <t>0.3053954832836897</t>
  </si>
  <si>
    <t>0.6107909665673794</t>
  </si>
  <si>
    <t>0.30672070379594923</t>
  </si>
  <si>
    <t>0.6134414075918985</t>
  </si>
  <si>
    <t>0.30712192236765734</t>
  </si>
  <si>
    <t>0.6142438447353147</t>
  </si>
  <si>
    <t>0.30482367405265254</t>
  </si>
  <si>
    <t>0.6096473481053051</t>
  </si>
  <si>
    <t>0.15690553679437394</t>
  </si>
  <si>
    <t>0.3138110735887479</t>
  </si>
  <si>
    <t>0.15465937853811643</t>
  </si>
  <si>
    <t>0.30931875707623285</t>
  </si>
  <si>
    <t>0.4613735393207372</t>
  </si>
  <si>
    <t>0.9227470786414744</t>
  </si>
  <si>
    <t>0.4614089353036298</t>
  </si>
  <si>
    <t>0.9228178706072596</t>
  </si>
  <si>
    <t>0.439132974323598</t>
  </si>
  <si>
    <t>0.878265948647196</t>
  </si>
  <si>
    <t>0.4354961615564681</t>
  </si>
  <si>
    <t>0.8709923231129362</t>
  </si>
  <si>
    <t>1.2352819477916683</t>
  </si>
  <si>
    <t>2.4705638955833367</t>
  </si>
  <si>
    <t>1.1742887010878014</t>
  </si>
  <si>
    <t>2.3485774021756027</t>
  </si>
  <si>
    <t>1.2035499975847868</t>
  </si>
  <si>
    <t>2.4070999951695735</t>
  </si>
  <si>
    <t>1.833252582325805</t>
  </si>
  <si>
    <t>3.66650516465161</t>
  </si>
  <si>
    <t>1.833658623647533</t>
  </si>
  <si>
    <t>3.667317247295066</t>
  </si>
  <si>
    <t>1.8343843240244135</t>
  </si>
  <si>
    <t>3.668768648048827</t>
  </si>
  <si>
    <t>1.833698787797175</t>
  </si>
  <si>
    <t>3.66739757559435</t>
  </si>
  <si>
    <t>1.83430455145493</t>
  </si>
  <si>
    <t>3.66860910290986</t>
  </si>
  <si>
    <t>Copy-ready FORECASTING_CONFIG</t>
  </si>
  <si>
    <t>All entries call the same SARIMAX-backed forecast function; nonseasonal candidates use seasonal_order=(0, 0, 0, 0).</t>
  </si>
  <si>
    <t>line</t>
  </si>
  <si>
    <t>python_code</t>
  </si>
  <si>
    <t>FORECASTING_CONFIG = {</t>
  </si>
  <si>
    <t>10: {</t>
  </si>
  <si>
    <t>"1": {"model": "arima", "params": {"order": (1, 1, 2), "seasonal_order": (1, 0, 0, 5)}},</t>
  </si>
  <si>
    <t>"2": {"model": "arima", "params": {"order": (1, 1, 1), "seasonal_order": (0, 0, 0, 0)}},</t>
  </si>
  <si>
    <t>"3": {"model": "arima", "params": {"order": (1, 1, 1), "seasonal_order": (0, 0, 0, 0)}},</t>
  </si>
  <si>
    <t>"4": {"model": "arima", "params": {"order": (0, 1, 1), "seasonal_order": (0, 0, 0, 0)}},</t>
  </si>
  <si>
    <t>"5": {"model": "arima", "params": {"order": (1, 0, 2), "seasonal_order": (0, 0, 0, 0)}},</t>
  </si>
  <si>
    <t>"6": {"model": "arima", "params": {"order": (0, 1, 1), "seasonal_order": (0, 0, 0, 0)}},</t>
  </si>
  <si>
    <t>"7": {"model": "arima", "params": {"order": (0, 1, 1), "seasonal_order": (0, 0, 0, 0)}},</t>
  </si>
  <si>
    <t>"8": {"model": "arima", "params": {"order": (0, 1, 1), "seasonal_order": (0, 0, 0, 0)}},</t>
  </si>
  <si>
    <t>"9": {"model": "arima", "params": {"order": (2, 1, 1), "seasonal_order": (0, 0, 0, 0)}},</t>
  </si>
  <si>
    <t>"10": {"model": "arima", "params": {"order": (0, 1, 2), "seasonal_order": (0, 0, 0, 0)}},</t>
  </si>
  <si>
    <t>"11": {"model": "arima", "params": {"order": (1, 1, 2), "seasonal_order": (0, 0, 1, 5)}},</t>
  </si>
  <si>
    <t>"12": {"model": "arima", "params": {"order": (5, 0, 0), "seasonal_order": (0, 0, 0, 0)}},</t>
  </si>
  <si>
    <t>"13": {"model": "arima", "params": {"order": (1, 1, 3), "seasonal_order": (0, 0, 2, 5)}},</t>
  </si>
  <si>
    <t>},</t>
  </si>
  <si>
    <t>22: {</t>
  </si>
  <si>
    <t>"1": {"model": "arima", "params": {"order": (1, 1, 2), "seasonal_order": (0, 0, 0, 0)}},</t>
  </si>
  <si>
    <t>"8": {"model": "arima", "params": {"order": (1, 1, 1), "seasonal_order": (0, 0, 0, 0)}},</t>
  </si>
  <si>
    <t>"9": {"model": "arima", "params": {"order": (0, 1, 1), "seasonal_order": (0, 0, 0, 0)}},</t>
  </si>
  <si>
    <t>"11": {"model": "arima", "params": {"order": (1, 1, 2), "seasonal_order": (1, 0, 0, 5)}},</t>
  </si>
  <si>
    <t>"12": {"model": "arima", "params": {"order": (2, 0, 1), "seasonal_order": (0, 0, 0, 0)}},</t>
  </si>
  <si>
    <t>66: {</t>
  </si>
  <si>
    <t>"7": {"model": "arima", "params": {"order": (0, 1, 1), "seasonal_order": (1, 0, 0, 5)}},</t>
  </si>
  <si>
    <t>"9": {"model": "arima", "params": {"order": (0, 1, 3), "seasonal_order": (0, 0, 0, 0)}},</t>
  </si>
  <si>
    <t>"10": {"model": "arima", "params": {"order": (0, 1, 2), "seasonal_order": (0, 0, 2, 5)}},</t>
  </si>
  <si>
    <t>"12": {"model": "arima", "params": {"order": (4, 0, 0), "seasonal_order": (0, 0, 0, 0)}},</t>
  </si>
  <si>
    <t>132: {</t>
  </si>
  <si>
    <t>"4": {"model": "arima", "params": {"order": (0, 1, 2), "seasonal_order": (0, 0, 0, 0)}},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</si>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</sst>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7A4B00"/>
      <name val="Carlito"/>
    </font>
    <font>
      <sz val="11"/>
      <color rgb="FF4D5A66"/>
      <name val="Carlito"/>
    </font>
    <font>
      <sz val="10"/>
      <color rgb="FF17324D"/>
      <name val="Carlito"/>
    </font>
    <font>
      <b/>
      <sz val="10"/>
      <color rgb="FF17324D"/>
      <name val="Carlito"/>
    </font>
    <font>
      <i/>
      <sz val="11"/>
      <color rgb="FF4D5A66"/>
      <name val="Carlito"/>
    </font>
    <font>
      <sz val="10"/>
      <color rgb="FF17324D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E8B"/>
      </patternFill>
    </fill>
    <fill>
      <patternFill patternType="solid">
        <fgColor rgb="FFFFF1CC"/>
      </patternFill>
    </fill>
    <fill>
      <patternFill patternType="solid">
        <fgColor rgb="FFFFF9E8"/>
      </patternFill>
    </fill>
    <fill>
      <patternFill patternType="solid">
        <fgColor rgb="FFE8F1FA"/>
      </patternFill>
    </fill>
    <fill>
      <patternFill patternType="solid">
        <fgColor rgb="FFD9F0F2"/>
      </patternFill>
    </fill>
  </fills>
  <borders count="5">
    <border>
      <left/>
      <right/>
      <top/>
      <bottom/>
      <diagonal/>
    </border>
    <border>
      <left style="thin">
        <color rgb="FFD5DBE1"/>
      </left>
      <right/>
      <top style="thin">
        <color rgb="FFD5DBE1"/>
      </top>
      <bottom style="thin">
        <color rgb="FFD5DBE1"/>
      </bottom>
      <diagonal/>
    </border>
    <border>
      <left/>
      <right/>
      <top style="thin">
        <color rgb="FFD5DBE1"/>
      </top>
      <bottom style="thin">
        <color rgb="FFD5DBE1"/>
      </bottom>
      <diagonal/>
    </border>
    <border>
      <left/>
      <right style="thin">
        <color rgb="FFD5DBE1"/>
      </right>
      <top style="thin">
        <color rgb="FFD5DBE1"/>
      </top>
      <bottom style="thin">
        <color rgb="FFD5DBE1"/>
      </bottom>
      <diagonal/>
    </border>
    <border>
      <left/>
      <right/>
      <top/>
      <bottom style="thin">
        <color rgb="FFD5DB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6" fillId="3" borderId="2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vertical="center"/>
    </xf>
    <xf numFmtId="2" fontId="5" fillId="0" borderId="4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vertical="center"/>
    </xf>
    <xf numFmtId="10" fontId="5" fillId="0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 wrapText="1"/>
    </xf>
    <xf numFmtId="165" fontId="2" fillId="3" borderId="2" xfId="0" applyNumberFormat="1" applyFont="1" applyFill="1" applyBorder="1" applyAlignment="1">
      <alignment vertical="center" wrapText="1"/>
    </xf>
    <xf numFmtId="164" fontId="5" fillId="0" borderId="4" xfId="0" applyNumberFormat="1" applyFont="1" applyFill="1" applyBorder="1" applyAlignment="1">
      <alignment vertical="center"/>
    </xf>
    <xf numFmtId="164" fontId="5" fillId="0" borderId="2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0" borderId="2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5" fontId="5" fillId="0" borderId="4" xfId="0" applyNumberFormat="1" applyFont="1" applyFill="1" applyBorder="1" applyAlignment="1">
      <alignment vertical="center"/>
    </xf>
    <xf numFmtId="165" fontId="5" fillId="0" borderId="2" xfId="0" applyNumberFormat="1" applyFont="1" applyFill="1" applyBorder="1" applyAlignment="1">
      <alignment vertical="center"/>
    </xf>
    <xf numFmtId="10" fontId="5" fillId="0" borderId="4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 wrapText="1"/>
    </xf>
    <xf numFmtId="0" fontId="8" fillId="0" borderId="4" xfId="0" applyNumberFormat="1" applyFont="1" applyFill="1" applyBorder="1" applyAlignment="1">
      <alignment vertical="center"/>
    </xf>
    <xf numFmtId="0" fontId="8" fillId="0" borderId="2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7" fillId="7" borderId="0" xfId="0" applyNumberFormat="1" applyFont="1" applyFill="1" applyBorder="1"/>
    <xf numFmtId="0" fontId="0" fillId="0" borderId="0" xfId="0"/>
    <xf numFmtId="0" fontId="3" fillId="4" borderId="0" xfId="0" applyNumberFormat="1" applyFont="1" applyFill="1" applyBorder="1"/>
    <xf numFmtId="0" fontId="7" fillId="6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</cellXfs>
  <cellStyles count="1">
    <cellStyle name="Normal" xfId="0" builtinId="0"/>
  </cellStyles>
  <dxfs count="6">
    <dxf>
      <font>
        <color rgb="FF7A4B00"/>
      </font>
      <fill>
        <patternFill patternType="solid">
          <bgColor rgb="FFFFF1CC"/>
        </patternFill>
      </fill>
    </dxf>
    <dxf>
      <font>
        <color rgb="FF1E5D2B"/>
      </font>
      <fill>
        <patternFill patternType="solid">
          <bgColor rgb="FFDFF2E1"/>
        </patternFill>
      </fill>
    </dxf>
    <dxf>
      <font>
        <b/>
        <color rgb="FF7A4B00"/>
      </font>
      <fill>
        <patternFill patternType="solid">
          <bgColor rgb="FFFFF1CC"/>
        </patternFill>
      </fill>
    </dxf>
    <dxf>
      <font>
        <b/>
        <color rgb="FF1E5D2B"/>
      </font>
      <fill>
        <patternFill patternType="solid">
          <bgColor rgb="FFDFF2E1"/>
        </patternFill>
      </fill>
    </dxf>
    <dxf>
      <font>
        <b/>
        <color rgb="FF7A4B00"/>
      </font>
      <fill>
        <patternFill patternType="solid">
          <bgColor rgb="FFFFF1CC"/>
        </patternFill>
      </fill>
    </dxf>
    <dxf>
      <font>
        <color rgb="FF1E5D2B"/>
      </font>
      <fill>
        <patternFill patternType="solid">
          <bgColor rgb="FFDFF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fbfe6c93d5ca4246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electedConfigTable" displayName="SelectedConfigTable" ref="A4:M56" totalsRowShown="0">
  <tableColumns count="13">
    <tableColumn id="1" xr3:uid="{00000000-0010-0000-0000-000001000000}" name="material"/>
    <tableColumn id="2" xr3:uid="{00000000-0010-0000-0000-000002000000}" name="horizon"/>
    <tableColumn id="3" xr3:uid="{00000000-0010-0000-0000-000003000000}" name="registry_model"/>
    <tableColumn id="4" xr3:uid="{00000000-0010-0000-0000-000004000000}" name="engine"/>
    <tableColumn id="5" xr3:uid="{00000000-0010-0000-0000-000005000000}" name="candidate"/>
    <tableColumn id="6" xr3:uid="{00000000-0010-0000-0000-000006000000}" name="order"/>
    <tableColumn id="7" xr3:uid="{00000000-0010-0000-0000-000007000000}" name="seasonal_order"/>
    <tableColumn id="8" xr3:uid="{00000000-0010-0000-0000-000008000000}" name="mean_smape"/>
    <tableColumn id="9" xr3:uid="{00000000-0010-0000-0000-000009000000}" name="relative_smape_gap"/>
    <tableColumn id="10" xr3:uid="{00000000-0010-0000-0000-00000A000000}" name="median_delta_aicc"/>
    <tableColumn id="11" xr3:uid="{00000000-0010-0000-0000-00000B000000}" name="complexity_pqPQ"/>
    <tableColumn id="12" xr3:uid="{00000000-0010-0000-0000-00000C000000}" name="decision_status"/>
    <tableColumn id="13" xr3:uid="{00000000-0010-0000-0000-00000D000000}" name="selection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ombinedEvidenceTable" displayName="CombinedEvidenceTable" ref="A4:AA168" totalsRowShown="0">
  <tableColumns count="27">
    <tableColumn id="1" xr3:uid="{00000000-0010-0000-0100-000001000000}" name="material"/>
    <tableColumn id="2" xr3:uid="{00000000-0010-0000-0100-000002000000}" name="horizon"/>
    <tableColumn id="3" xr3:uid="{00000000-0010-0000-0100-000003000000}" name="candidate"/>
    <tableColumn id="4" xr3:uid="{00000000-0010-0000-0100-000004000000}" name="order"/>
    <tableColumn id="5" xr3:uid="{00000000-0010-0000-0100-000005000000}" name="seasonal_order"/>
    <tableColumn id="6" xr3:uid="{00000000-0010-0000-0100-000006000000}" name="model_type"/>
    <tableColumn id="7" xr3:uid="{00000000-0010-0000-0100-000007000000}" name="mean_smape"/>
    <tableColumn id="8" xr3:uid="{00000000-0010-0000-0100-000008000000}" name="sum_smape"/>
    <tableColumn id="9" xr3:uid="{00000000-0010-0000-0100-000009000000}" name="folds"/>
    <tableColumn id="10" xr3:uid="{00000000-0010-0000-0100-00000A000000}" name="best_smape"/>
    <tableColumn id="11" xr3:uid="{00000000-0010-0000-0100-00000B000000}" name="relative_smape_gap"/>
    <tableColumn id="12" xr3:uid="{00000000-0010-0000-0100-00000C000000}" name="smape_acceptable"/>
    <tableColumn id="13" xr3:uid="{00000000-0010-0000-0100-00000D000000}" name="linear_aicc"/>
    <tableColumn id="14" xr3:uid="{00000000-0010-0000-0100-00000E000000}" name="linear_delta"/>
    <tableColumn id="15" xr3:uid="{00000000-0010-0000-0100-00000F000000}" name="pchip_aicc"/>
    <tableColumn id="16" xr3:uid="{00000000-0010-0000-0100-000010000000}" name="pchip_delta"/>
    <tableColumn id="17" xr3:uid="{00000000-0010-0000-0100-000011000000}" name="spline_aicc"/>
    <tableColumn id="18" xr3:uid="{00000000-0010-0000-0100-000012000000}" name="spline_delta"/>
    <tableColumn id="19" xr3:uid="{00000000-0010-0000-0100-000013000000}" name="aicc_evidence_count"/>
    <tableColumn id="20" xr3:uid="{00000000-0010-0000-0100-000014000000}" name="median_delta_aicc"/>
    <tableColumn id="21" xr3:uid="{00000000-0010-0000-0100-000015000000}" name="max_delta_aicc"/>
    <tableColumn id="22" xr3:uid="{00000000-0010-0000-0100-000016000000}" name="aicc_acceptable"/>
    <tableColumn id="23" xr3:uid="{00000000-0010-0000-0100-000017000000}" name="joint_acceptable"/>
    <tableColumn id="24" xr3:uid="{00000000-0010-0000-0100-000018000000}" name="complexity_pqPQ"/>
    <tableColumn id="25" xr3:uid="{00000000-0010-0000-0100-000019000000}" name="selected"/>
    <tableColumn id="26" xr3:uid="{00000000-0010-0000-0100-00001A000000}" name="decision_status"/>
    <tableColumn id="27" xr3:uid="{00000000-0010-0000-0100-00001B000000}" name="selection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ccEvidenceTable" displayName="AiccEvidenceTable" ref="A4:J68" totalsRowShown="0">
  <tableColumns count="10">
    <tableColumn id="1" xr3:uid="{00000000-0010-0000-0200-000001000000}" name="material"/>
    <tableColumn id="2" xr3:uid="{00000000-0010-0000-0200-000002000000}" name="imputation_method"/>
    <tableColumn id="3" xr3:uid="{00000000-0010-0000-0200-000003000000}" name="source_run"/>
    <tableColumn id="4" xr3:uid="{00000000-0010-0000-0200-000004000000}" name="order"/>
    <tableColumn id="5" xr3:uid="{00000000-0010-0000-0200-000005000000}" name="seasonal_order"/>
    <tableColumn id="6" xr3:uid="{00000000-0010-0000-0200-000006000000}" name="model_type"/>
    <tableColumn id="7" xr3:uid="{00000000-0010-0000-0200-000007000000}" name="aicc"/>
    <tableColumn id="8" xr3:uid="{00000000-0010-0000-0200-000008000000}" name="method_best_aicc"/>
    <tableColumn id="9" xr3:uid="{00000000-0010-0000-0200-000009000000}" name="delta_from_method_best"/>
    <tableColumn id="10" xr3:uid="{00000000-0010-0000-0200-00000A000000}" name="aicc_suppo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ourceAiccTable" displayName="SourceAiccTable" ref="A1:J40" totalsRowShown="0">
  <tableColumns count="10">
    <tableColumn id="1" xr3:uid="{00000000-0010-0000-0300-000001000000}" name="material"/>
    <tableColumn id="2" xr3:uid="{00000000-0010-0000-0300-000002000000}" name="imputation_method"/>
    <tableColumn id="3" xr3:uid="{00000000-0010-0000-0300-000003000000}" name="arima_order"/>
    <tableColumn id="4" xr3:uid="{00000000-0010-0000-0300-000004000000}" name="sarima_order"/>
    <tableColumn id="5" xr3:uid="{00000000-0010-0000-0300-000005000000}" name="sarima_seasonal_order"/>
    <tableColumn id="6" xr3:uid="{00000000-0010-0000-0300-000006000000}" name="arima_aicc"/>
    <tableColumn id="7" xr3:uid="{00000000-0010-0000-0300-000007000000}" name="sarima_aicc"/>
    <tableColumn id="8" xr3:uid="{00000000-0010-0000-0300-000008000000}" name="delta_aicc"/>
    <tableColumn id="9" xr3:uid="{00000000-0010-0000-0300-000009000000}" name="aicc_result"/>
    <tableColumn id="10" xr3:uid="{00000000-0010-0000-0300-00000A000000}" name="seasonal_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SourceSmapeTable" displayName="SourceSmapeTable" ref="A1:H165" totalsRowShown="0">
  <tableColumns count="8">
    <tableColumn id="1" xr3:uid="{00000000-0010-0000-0400-000001000000}" name="material"/>
    <tableColumn id="2" xr3:uid="{00000000-0010-0000-0400-000002000000}" name="horizon"/>
    <tableColumn id="3" xr3:uid="{00000000-0010-0000-0400-000003000000}" name="candidate"/>
    <tableColumn id="4" xr3:uid="{00000000-0010-0000-0400-000004000000}" name="order"/>
    <tableColumn id="5" xr3:uid="{00000000-0010-0000-0400-000005000000}" name="seasonal_order"/>
    <tableColumn id="6" xr3:uid="{00000000-0010-0000-0400-000006000000}" name="mean_smape"/>
    <tableColumn id="7" xr3:uid="{00000000-0010-0000-0400-000007000000}" name="sum_smape"/>
    <tableColumn id="8" xr3:uid="{00000000-0010-0000-0400-000008000000}" name="number_of_fol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showGridLines="0" workbookViewId="0">
      <selection sqref="A1:M1"/>
    </sheetView>
  </sheetViews>
  <sheetFormatPr defaultRowHeight="13.8"/>
  <cols>
    <col min="1" max="2" width="10" customWidth="1"/>
    <col min="3" max="5" width="18" customWidth="1"/>
    <col min="6" max="7" width="20" customWidth="1"/>
    <col min="8" max="11" width="17" customWidth="1"/>
    <col min="12" max="12" width="22" customWidth="1"/>
    <col min="13" max="13" width="48" customWidth="1"/>
  </cols>
  <sheetData>
    <row r="1" spans="1:13" ht="30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  <c r="I1" s="22" t="s">
        <v>0</v>
      </c>
      <c r="J1" s="22" t="s">
        <v>0</v>
      </c>
      <c r="K1" s="22" t="s">
        <v>0</v>
      </c>
      <c r="L1" s="22" t="s">
        <v>0</v>
      </c>
      <c r="M1" s="22" t="s">
        <v>0</v>
      </c>
    </row>
    <row r="2" spans="1:13" ht="14.4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>
      <c r="A3" s="25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30" customHeigh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3" t="s">
        <v>15</v>
      </c>
    </row>
    <row r="5" spans="1:13" ht="28.05" customHeight="1">
      <c r="A5" s="5">
        <v>1</v>
      </c>
      <c r="B5" s="5">
        <v>10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15">
        <v>0.10202196839480403</v>
      </c>
      <c r="I5" s="17">
        <v>0</v>
      </c>
      <c r="J5" s="11">
        <v>0</v>
      </c>
      <c r="K5" s="5">
        <v>4</v>
      </c>
      <c r="L5" s="5" t="s">
        <v>21</v>
      </c>
      <c r="M5" s="18" t="s">
        <v>22</v>
      </c>
    </row>
    <row r="6" spans="1:13" ht="28.05" customHeight="1">
      <c r="A6" s="7">
        <v>2</v>
      </c>
      <c r="B6" s="7">
        <v>10</v>
      </c>
      <c r="C6" s="7" t="s">
        <v>16</v>
      </c>
      <c r="D6" s="7" t="s">
        <v>17</v>
      </c>
      <c r="E6" s="7" t="s">
        <v>23</v>
      </c>
      <c r="F6" s="7" t="s">
        <v>24</v>
      </c>
      <c r="G6" s="7" t="s">
        <v>25</v>
      </c>
      <c r="H6" s="16">
        <v>0.1361064845120819</v>
      </c>
      <c r="I6" s="8">
        <v>0</v>
      </c>
      <c r="J6" s="12">
        <v>0</v>
      </c>
      <c r="K6" s="7">
        <v>2</v>
      </c>
      <c r="L6" s="7" t="s">
        <v>21</v>
      </c>
      <c r="M6" s="19" t="s">
        <v>22</v>
      </c>
    </row>
    <row r="7" spans="1:13" ht="28.05" customHeight="1">
      <c r="A7" s="7">
        <v>3</v>
      </c>
      <c r="B7" s="7">
        <v>10</v>
      </c>
      <c r="C7" s="7" t="s">
        <v>16</v>
      </c>
      <c r="D7" s="7" t="s">
        <v>17</v>
      </c>
      <c r="E7" s="7" t="s">
        <v>23</v>
      </c>
      <c r="F7" s="7" t="s">
        <v>24</v>
      </c>
      <c r="G7" s="7" t="s">
        <v>25</v>
      </c>
      <c r="H7" s="16">
        <v>0.1557666274815043</v>
      </c>
      <c r="I7" s="8">
        <v>3.0479005068689028E-3</v>
      </c>
      <c r="J7" s="12">
        <v>1.4170000000003711</v>
      </c>
      <c r="K7" s="7">
        <v>2</v>
      </c>
      <c r="L7" s="7" t="s">
        <v>21</v>
      </c>
      <c r="M7" s="19" t="s">
        <v>22</v>
      </c>
    </row>
    <row r="8" spans="1:13" ht="28.05" customHeight="1">
      <c r="A8" s="7">
        <v>4</v>
      </c>
      <c r="B8" s="7">
        <v>10</v>
      </c>
      <c r="C8" s="7" t="s">
        <v>16</v>
      </c>
      <c r="D8" s="7" t="s">
        <v>17</v>
      </c>
      <c r="E8" s="7" t="s">
        <v>26</v>
      </c>
      <c r="F8" s="7" t="s">
        <v>27</v>
      </c>
      <c r="G8" s="7" t="s">
        <v>25</v>
      </c>
      <c r="H8" s="16">
        <v>0.15993545953300364</v>
      </c>
      <c r="I8" s="8">
        <v>0</v>
      </c>
      <c r="J8" s="12">
        <v>0</v>
      </c>
      <c r="K8" s="7">
        <v>1</v>
      </c>
      <c r="L8" s="7" t="s">
        <v>21</v>
      </c>
      <c r="M8" s="19" t="s">
        <v>22</v>
      </c>
    </row>
    <row r="9" spans="1:13" ht="28.05" customHeight="1">
      <c r="A9" s="7">
        <v>5</v>
      </c>
      <c r="B9" s="7">
        <v>10</v>
      </c>
      <c r="C9" s="7" t="s">
        <v>16</v>
      </c>
      <c r="D9" s="7" t="s">
        <v>17</v>
      </c>
      <c r="E9" s="7" t="s">
        <v>28</v>
      </c>
      <c r="F9" s="7" t="s">
        <v>29</v>
      </c>
      <c r="G9" s="7" t="s">
        <v>25</v>
      </c>
      <c r="H9" s="16">
        <v>0.10261218243624201</v>
      </c>
      <c r="I9" s="8">
        <v>9.3115190563265674E-3</v>
      </c>
      <c r="J9" s="12">
        <v>0</v>
      </c>
      <c r="K9" s="7">
        <v>3</v>
      </c>
      <c r="L9" s="7" t="s">
        <v>21</v>
      </c>
      <c r="M9" s="19" t="s">
        <v>22</v>
      </c>
    </row>
    <row r="10" spans="1:13" ht="28.05" customHeight="1">
      <c r="A10" s="7">
        <v>6</v>
      </c>
      <c r="B10" s="7">
        <v>10</v>
      </c>
      <c r="C10" s="7" t="s">
        <v>16</v>
      </c>
      <c r="D10" s="7" t="s">
        <v>17</v>
      </c>
      <c r="E10" s="7" t="s">
        <v>26</v>
      </c>
      <c r="F10" s="7" t="s">
        <v>27</v>
      </c>
      <c r="G10" s="7" t="s">
        <v>25</v>
      </c>
      <c r="H10" s="16">
        <v>0.12748419398297053</v>
      </c>
      <c r="I10" s="8">
        <v>3.544093612658989E-3</v>
      </c>
      <c r="J10" s="12">
        <v>0</v>
      </c>
      <c r="K10" s="7">
        <v>1</v>
      </c>
      <c r="L10" s="7" t="s">
        <v>21</v>
      </c>
      <c r="M10" s="19" t="s">
        <v>22</v>
      </c>
    </row>
    <row r="11" spans="1:13" ht="28.05" customHeight="1">
      <c r="A11" s="7">
        <v>7</v>
      </c>
      <c r="B11" s="7">
        <v>10</v>
      </c>
      <c r="C11" s="7" t="s">
        <v>16</v>
      </c>
      <c r="D11" s="7" t="s">
        <v>17</v>
      </c>
      <c r="E11" s="7" t="s">
        <v>26</v>
      </c>
      <c r="F11" s="7" t="s">
        <v>27</v>
      </c>
      <c r="G11" s="7" t="s">
        <v>25</v>
      </c>
      <c r="H11" s="16">
        <v>0.24814180026539318</v>
      </c>
      <c r="I11" s="8">
        <v>4.3295010323949462E-4</v>
      </c>
      <c r="J11" s="12">
        <v>1.0480000000006839</v>
      </c>
      <c r="K11" s="7">
        <v>1</v>
      </c>
      <c r="L11" s="7" t="s">
        <v>21</v>
      </c>
      <c r="M11" s="19" t="s">
        <v>22</v>
      </c>
    </row>
    <row r="12" spans="1:13" ht="28.05" customHeight="1">
      <c r="A12" s="7">
        <v>8</v>
      </c>
      <c r="B12" s="7">
        <v>10</v>
      </c>
      <c r="C12" s="7" t="s">
        <v>16</v>
      </c>
      <c r="D12" s="7" t="s">
        <v>17</v>
      </c>
      <c r="E12" s="7" t="s">
        <v>26</v>
      </c>
      <c r="F12" s="7" t="s">
        <v>27</v>
      </c>
      <c r="G12" s="7" t="s">
        <v>25</v>
      </c>
      <c r="H12" s="16">
        <v>0.1788917702269508</v>
      </c>
      <c r="I12" s="8">
        <v>0</v>
      </c>
      <c r="J12" s="12">
        <v>0.50900000000001455</v>
      </c>
      <c r="K12" s="7">
        <v>1</v>
      </c>
      <c r="L12" s="7" t="s">
        <v>21</v>
      </c>
      <c r="M12" s="19" t="s">
        <v>22</v>
      </c>
    </row>
    <row r="13" spans="1:13" ht="28.05" customHeight="1">
      <c r="A13" s="7">
        <v>9</v>
      </c>
      <c r="B13" s="7">
        <v>10</v>
      </c>
      <c r="C13" s="7" t="s">
        <v>16</v>
      </c>
      <c r="D13" s="7" t="s">
        <v>17</v>
      </c>
      <c r="E13" s="7" t="s">
        <v>30</v>
      </c>
      <c r="F13" s="7" t="s">
        <v>31</v>
      </c>
      <c r="G13" s="7" t="s">
        <v>25</v>
      </c>
      <c r="H13" s="16">
        <v>0.17985228935581818</v>
      </c>
      <c r="I13" s="8">
        <v>0</v>
      </c>
      <c r="J13" s="12">
        <v>0</v>
      </c>
      <c r="K13" s="7">
        <v>3</v>
      </c>
      <c r="L13" s="7" t="s">
        <v>21</v>
      </c>
      <c r="M13" s="19" t="s">
        <v>22</v>
      </c>
    </row>
    <row r="14" spans="1:13" ht="28.05" customHeight="1">
      <c r="A14" s="7">
        <v>10</v>
      </c>
      <c r="B14" s="7">
        <v>10</v>
      </c>
      <c r="C14" s="7" t="s">
        <v>16</v>
      </c>
      <c r="D14" s="7" t="s">
        <v>17</v>
      </c>
      <c r="E14" s="7" t="s">
        <v>32</v>
      </c>
      <c r="F14" s="7" t="s">
        <v>33</v>
      </c>
      <c r="G14" s="7" t="s">
        <v>25</v>
      </c>
      <c r="H14" s="16">
        <v>0.11002942704314468</v>
      </c>
      <c r="I14" s="8">
        <v>0</v>
      </c>
      <c r="J14" s="12">
        <v>0</v>
      </c>
      <c r="K14" s="7">
        <v>2</v>
      </c>
      <c r="L14" s="7" t="s">
        <v>21</v>
      </c>
      <c r="M14" s="19" t="s">
        <v>22</v>
      </c>
    </row>
    <row r="15" spans="1:13" ht="28.05" customHeight="1">
      <c r="A15" s="7">
        <v>11</v>
      </c>
      <c r="B15" s="7">
        <v>10</v>
      </c>
      <c r="C15" s="7" t="s">
        <v>16</v>
      </c>
      <c r="D15" s="7" t="s">
        <v>17</v>
      </c>
      <c r="E15" s="7" t="s">
        <v>34</v>
      </c>
      <c r="F15" s="7" t="s">
        <v>19</v>
      </c>
      <c r="G15" s="7" t="s">
        <v>35</v>
      </c>
      <c r="H15" s="16">
        <v>0.40762160993020236</v>
      </c>
      <c r="I15" s="8">
        <v>0</v>
      </c>
      <c r="J15" s="12">
        <v>0</v>
      </c>
      <c r="K15" s="7">
        <v>4</v>
      </c>
      <c r="L15" s="7" t="s">
        <v>21</v>
      </c>
      <c r="M15" s="19" t="s">
        <v>22</v>
      </c>
    </row>
    <row r="16" spans="1:13" ht="28.05" customHeight="1">
      <c r="A16" s="7">
        <v>12</v>
      </c>
      <c r="B16" s="7">
        <v>10</v>
      </c>
      <c r="C16" s="7" t="s">
        <v>16</v>
      </c>
      <c r="D16" s="7" t="s">
        <v>17</v>
      </c>
      <c r="E16" s="7" t="s">
        <v>36</v>
      </c>
      <c r="F16" s="7" t="s">
        <v>37</v>
      </c>
      <c r="G16" s="7" t="s">
        <v>25</v>
      </c>
      <c r="H16" s="16">
        <v>1.078337675912127</v>
      </c>
      <c r="I16" s="8">
        <v>0</v>
      </c>
      <c r="J16" s="12">
        <v>0</v>
      </c>
      <c r="K16" s="7">
        <v>5</v>
      </c>
      <c r="L16" s="7" t="s">
        <v>21</v>
      </c>
      <c r="M16" s="19" t="s">
        <v>22</v>
      </c>
    </row>
    <row r="17" spans="1:13" ht="28.05" customHeight="1">
      <c r="A17" s="7">
        <v>13</v>
      </c>
      <c r="B17" s="7">
        <v>10</v>
      </c>
      <c r="C17" s="7" t="s">
        <v>16</v>
      </c>
      <c r="D17" s="7" t="s">
        <v>17</v>
      </c>
      <c r="E17" s="7" t="s">
        <v>38</v>
      </c>
      <c r="F17" s="7" t="s">
        <v>39</v>
      </c>
      <c r="G17" s="7" t="s">
        <v>40</v>
      </c>
      <c r="H17" s="16">
        <v>1.8399793470749715</v>
      </c>
      <c r="I17" s="8">
        <v>5.4265253673040081E-3</v>
      </c>
      <c r="J17" s="12">
        <v>0</v>
      </c>
      <c r="K17" s="7">
        <v>6</v>
      </c>
      <c r="L17" s="7" t="s">
        <v>21</v>
      </c>
      <c r="M17" s="19" t="s">
        <v>22</v>
      </c>
    </row>
    <row r="18" spans="1:13" ht="28.05" customHeight="1">
      <c r="A18" s="7">
        <v>1</v>
      </c>
      <c r="B18" s="7">
        <v>22</v>
      </c>
      <c r="C18" s="7" t="s">
        <v>16</v>
      </c>
      <c r="D18" s="7" t="s">
        <v>17</v>
      </c>
      <c r="E18" s="7" t="s">
        <v>41</v>
      </c>
      <c r="F18" s="7" t="s">
        <v>19</v>
      </c>
      <c r="G18" s="7" t="s">
        <v>25</v>
      </c>
      <c r="H18" s="16">
        <v>0.11212367365544544</v>
      </c>
      <c r="I18" s="8">
        <v>0</v>
      </c>
      <c r="J18" s="12">
        <v>1.6550000000002001</v>
      </c>
      <c r="K18" s="7">
        <v>3</v>
      </c>
      <c r="L18" s="7" t="s">
        <v>21</v>
      </c>
      <c r="M18" s="19" t="s">
        <v>22</v>
      </c>
    </row>
    <row r="19" spans="1:13" ht="28.05" customHeight="1">
      <c r="A19" s="7">
        <v>2</v>
      </c>
      <c r="B19" s="7">
        <v>22</v>
      </c>
      <c r="C19" s="7" t="s">
        <v>16</v>
      </c>
      <c r="D19" s="7" t="s">
        <v>17</v>
      </c>
      <c r="E19" s="7" t="s">
        <v>23</v>
      </c>
      <c r="F19" s="7" t="s">
        <v>24</v>
      </c>
      <c r="G19" s="7" t="s">
        <v>25</v>
      </c>
      <c r="H19" s="16">
        <v>0.15138455843837456</v>
      </c>
      <c r="I19" s="8">
        <v>0</v>
      </c>
      <c r="J19" s="12">
        <v>0</v>
      </c>
      <c r="K19" s="7">
        <v>2</v>
      </c>
      <c r="L19" s="7" t="s">
        <v>21</v>
      </c>
      <c r="M19" s="19" t="s">
        <v>22</v>
      </c>
    </row>
    <row r="20" spans="1:13" ht="28.05" customHeight="1">
      <c r="A20" s="7">
        <v>3</v>
      </c>
      <c r="B20" s="7">
        <v>22</v>
      </c>
      <c r="C20" s="7" t="s">
        <v>16</v>
      </c>
      <c r="D20" s="7" t="s">
        <v>17</v>
      </c>
      <c r="E20" s="7" t="s">
        <v>23</v>
      </c>
      <c r="F20" s="7" t="s">
        <v>24</v>
      </c>
      <c r="G20" s="7" t="s">
        <v>25</v>
      </c>
      <c r="H20" s="16">
        <v>0.15036971182296696</v>
      </c>
      <c r="I20" s="8">
        <v>0</v>
      </c>
      <c r="J20" s="12">
        <v>1.4170000000003711</v>
      </c>
      <c r="K20" s="7">
        <v>2</v>
      </c>
      <c r="L20" s="7" t="s">
        <v>21</v>
      </c>
      <c r="M20" s="19" t="s">
        <v>22</v>
      </c>
    </row>
    <row r="21" spans="1:13" ht="28.05" customHeight="1">
      <c r="A21" s="7">
        <v>4</v>
      </c>
      <c r="B21" s="7">
        <v>22</v>
      </c>
      <c r="C21" s="7" t="s">
        <v>16</v>
      </c>
      <c r="D21" s="7" t="s">
        <v>17</v>
      </c>
      <c r="E21" s="7" t="s">
        <v>26</v>
      </c>
      <c r="F21" s="7" t="s">
        <v>27</v>
      </c>
      <c r="G21" s="7" t="s">
        <v>25</v>
      </c>
      <c r="H21" s="16">
        <v>0.15612137528269088</v>
      </c>
      <c r="I21" s="8">
        <v>0</v>
      </c>
      <c r="J21" s="12">
        <v>0</v>
      </c>
      <c r="K21" s="7">
        <v>1</v>
      </c>
      <c r="L21" s="7" t="s">
        <v>21</v>
      </c>
      <c r="M21" s="19" t="s">
        <v>22</v>
      </c>
    </row>
    <row r="22" spans="1:13" ht="28.05" customHeight="1">
      <c r="A22" s="7">
        <v>5</v>
      </c>
      <c r="B22" s="7">
        <v>22</v>
      </c>
      <c r="C22" s="7" t="s">
        <v>16</v>
      </c>
      <c r="D22" s="7" t="s">
        <v>17</v>
      </c>
      <c r="E22" s="7" t="s">
        <v>28</v>
      </c>
      <c r="F22" s="7" t="s">
        <v>29</v>
      </c>
      <c r="G22" s="7" t="s">
        <v>25</v>
      </c>
      <c r="H22" s="16">
        <v>0.11005507642166203</v>
      </c>
      <c r="I22" s="8">
        <v>1.6139209367624901E-3</v>
      </c>
      <c r="J22" s="12">
        <v>0</v>
      </c>
      <c r="K22" s="7">
        <v>3</v>
      </c>
      <c r="L22" s="7" t="s">
        <v>21</v>
      </c>
      <c r="M22" s="19" t="s">
        <v>22</v>
      </c>
    </row>
    <row r="23" spans="1:13" ht="28.05" customHeight="1">
      <c r="A23" s="7">
        <v>6</v>
      </c>
      <c r="B23" s="7">
        <v>22</v>
      </c>
      <c r="C23" s="7" t="s">
        <v>16</v>
      </c>
      <c r="D23" s="7" t="s">
        <v>17</v>
      </c>
      <c r="E23" s="7" t="s">
        <v>26</v>
      </c>
      <c r="F23" s="7" t="s">
        <v>27</v>
      </c>
      <c r="G23" s="7" t="s">
        <v>25</v>
      </c>
      <c r="H23" s="16">
        <v>0.13264391141095774</v>
      </c>
      <c r="I23" s="8">
        <v>5.4360343110001726E-4</v>
      </c>
      <c r="J23" s="12">
        <v>0</v>
      </c>
      <c r="K23" s="7">
        <v>1</v>
      </c>
      <c r="L23" s="7" t="s">
        <v>21</v>
      </c>
      <c r="M23" s="19" t="s">
        <v>22</v>
      </c>
    </row>
    <row r="24" spans="1:13" ht="28.05" customHeight="1">
      <c r="A24" s="7">
        <v>7</v>
      </c>
      <c r="B24" s="7">
        <v>22</v>
      </c>
      <c r="C24" s="7" t="s">
        <v>16</v>
      </c>
      <c r="D24" s="7" t="s">
        <v>17</v>
      </c>
      <c r="E24" s="7" t="s">
        <v>26</v>
      </c>
      <c r="F24" s="7" t="s">
        <v>27</v>
      </c>
      <c r="G24" s="7" t="s">
        <v>25</v>
      </c>
      <c r="H24" s="16">
        <v>0.24688156110213597</v>
      </c>
      <c r="I24" s="8">
        <v>7.3692439285489577E-4</v>
      </c>
      <c r="J24" s="12">
        <v>1.0480000000006839</v>
      </c>
      <c r="K24" s="7">
        <v>1</v>
      </c>
      <c r="L24" s="7" t="s">
        <v>21</v>
      </c>
      <c r="M24" s="19" t="s">
        <v>22</v>
      </c>
    </row>
    <row r="25" spans="1:13" ht="28.05" customHeight="1">
      <c r="A25" s="7">
        <v>8</v>
      </c>
      <c r="B25" s="7">
        <v>22</v>
      </c>
      <c r="C25" s="7" t="s">
        <v>16</v>
      </c>
      <c r="D25" s="7" t="s">
        <v>17</v>
      </c>
      <c r="E25" s="7" t="s">
        <v>23</v>
      </c>
      <c r="F25" s="7" t="s">
        <v>24</v>
      </c>
      <c r="G25" s="7" t="s">
        <v>25</v>
      </c>
      <c r="H25" s="16">
        <v>0.20499998014250184</v>
      </c>
      <c r="I25" s="8">
        <v>2.4524212032391263E-3</v>
      </c>
      <c r="J25" s="12">
        <v>0.60649999999986903</v>
      </c>
      <c r="K25" s="7">
        <v>2</v>
      </c>
      <c r="L25" s="7" t="s">
        <v>21</v>
      </c>
      <c r="M25" s="19" t="s">
        <v>22</v>
      </c>
    </row>
    <row r="26" spans="1:13" ht="28.05" customHeight="1">
      <c r="A26" s="7">
        <v>9</v>
      </c>
      <c r="B26" s="7">
        <v>22</v>
      </c>
      <c r="C26" s="7" t="s">
        <v>16</v>
      </c>
      <c r="D26" s="7" t="s">
        <v>17</v>
      </c>
      <c r="E26" s="7" t="s">
        <v>26</v>
      </c>
      <c r="F26" s="7" t="s">
        <v>27</v>
      </c>
      <c r="G26" s="7" t="s">
        <v>25</v>
      </c>
      <c r="H26" s="16">
        <v>0.19958976644986481</v>
      </c>
      <c r="I26" s="8">
        <v>0</v>
      </c>
      <c r="J26" s="12">
        <v>7.3800000000001091</v>
      </c>
      <c r="K26" s="7">
        <v>1</v>
      </c>
      <c r="L26" s="7" t="s">
        <v>42</v>
      </c>
      <c r="M26" s="19" t="s">
        <v>43</v>
      </c>
    </row>
    <row r="27" spans="1:13" ht="28.05" customHeight="1">
      <c r="A27" s="7">
        <v>10</v>
      </c>
      <c r="B27" s="7">
        <v>22</v>
      </c>
      <c r="C27" s="7" t="s">
        <v>16</v>
      </c>
      <c r="D27" s="7" t="s">
        <v>17</v>
      </c>
      <c r="E27" s="7" t="s">
        <v>32</v>
      </c>
      <c r="F27" s="7" t="s">
        <v>33</v>
      </c>
      <c r="G27" s="7" t="s">
        <v>25</v>
      </c>
      <c r="H27" s="16">
        <v>0.1219848497445063</v>
      </c>
      <c r="I27" s="8">
        <v>0</v>
      </c>
      <c r="J27" s="12">
        <v>0</v>
      </c>
      <c r="K27" s="7">
        <v>2</v>
      </c>
      <c r="L27" s="7" t="s">
        <v>21</v>
      </c>
      <c r="M27" s="19" t="s">
        <v>22</v>
      </c>
    </row>
    <row r="28" spans="1:13" ht="28.05" customHeight="1">
      <c r="A28" s="7">
        <v>11</v>
      </c>
      <c r="B28" s="7">
        <v>22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16">
        <v>0.44193960068621818</v>
      </c>
      <c r="I28" s="8">
        <v>0</v>
      </c>
      <c r="J28" s="12">
        <v>0</v>
      </c>
      <c r="K28" s="7">
        <v>4</v>
      </c>
      <c r="L28" s="7" t="s">
        <v>21</v>
      </c>
      <c r="M28" s="19" t="s">
        <v>22</v>
      </c>
    </row>
    <row r="29" spans="1:13" ht="28.05" customHeight="1">
      <c r="A29" s="7">
        <v>12</v>
      </c>
      <c r="B29" s="7">
        <v>22</v>
      </c>
      <c r="C29" s="7" t="s">
        <v>16</v>
      </c>
      <c r="D29" s="7" t="s">
        <v>17</v>
      </c>
      <c r="E29" s="7" t="s">
        <v>44</v>
      </c>
      <c r="F29" s="7" t="s">
        <v>45</v>
      </c>
      <c r="G29" s="7" t="s">
        <v>25</v>
      </c>
      <c r="H29" s="16">
        <v>1.2108263185232941</v>
      </c>
      <c r="I29" s="8">
        <v>0</v>
      </c>
      <c r="J29" s="12">
        <v>0</v>
      </c>
      <c r="K29" s="7">
        <v>3</v>
      </c>
      <c r="L29" s="7" t="s">
        <v>21</v>
      </c>
      <c r="M29" s="19" t="s">
        <v>22</v>
      </c>
    </row>
    <row r="30" spans="1:13" ht="28.05" customHeight="1">
      <c r="A30" s="7">
        <v>13</v>
      </c>
      <c r="B30" s="7">
        <v>22</v>
      </c>
      <c r="C30" s="7" t="s">
        <v>16</v>
      </c>
      <c r="D30" s="7" t="s">
        <v>17</v>
      </c>
      <c r="E30" s="7" t="s">
        <v>38</v>
      </c>
      <c r="F30" s="7" t="s">
        <v>39</v>
      </c>
      <c r="G30" s="7" t="s">
        <v>40</v>
      </c>
      <c r="H30" s="16">
        <v>1.8312958445882925</v>
      </c>
      <c r="I30" s="8">
        <v>1.6202523315192656E-3</v>
      </c>
      <c r="J30" s="12">
        <v>0</v>
      </c>
      <c r="K30" s="7">
        <v>6</v>
      </c>
      <c r="L30" s="7" t="s">
        <v>21</v>
      </c>
      <c r="M30" s="19" t="s">
        <v>22</v>
      </c>
    </row>
    <row r="31" spans="1:13" ht="28.05" customHeight="1">
      <c r="A31" s="7">
        <v>1</v>
      </c>
      <c r="B31" s="7">
        <v>66</v>
      </c>
      <c r="C31" s="7" t="s">
        <v>16</v>
      </c>
      <c r="D31" s="7" t="s">
        <v>17</v>
      </c>
      <c r="E31" s="7" t="s">
        <v>18</v>
      </c>
      <c r="F31" s="7" t="s">
        <v>19</v>
      </c>
      <c r="G31" s="7" t="s">
        <v>20</v>
      </c>
      <c r="H31" s="16">
        <v>0.11840535962003326</v>
      </c>
      <c r="I31" s="8">
        <v>0</v>
      </c>
      <c r="J31" s="12">
        <v>0</v>
      </c>
      <c r="K31" s="7">
        <v>4</v>
      </c>
      <c r="L31" s="7" t="s">
        <v>21</v>
      </c>
      <c r="M31" s="19" t="s">
        <v>22</v>
      </c>
    </row>
    <row r="32" spans="1:13" ht="28.05" customHeight="1">
      <c r="A32" s="7">
        <v>2</v>
      </c>
      <c r="B32" s="7">
        <v>66</v>
      </c>
      <c r="C32" s="7" t="s">
        <v>16</v>
      </c>
      <c r="D32" s="7" t="s">
        <v>17</v>
      </c>
      <c r="E32" s="7" t="s">
        <v>23</v>
      </c>
      <c r="F32" s="7" t="s">
        <v>24</v>
      </c>
      <c r="G32" s="7" t="s">
        <v>25</v>
      </c>
      <c r="H32" s="16">
        <v>0.21126487747529032</v>
      </c>
      <c r="I32" s="8">
        <v>0</v>
      </c>
      <c r="J32" s="12">
        <v>0</v>
      </c>
      <c r="K32" s="7">
        <v>2</v>
      </c>
      <c r="L32" s="7" t="s">
        <v>21</v>
      </c>
      <c r="M32" s="19" t="s">
        <v>22</v>
      </c>
    </row>
    <row r="33" spans="1:13" ht="28.05" customHeight="1">
      <c r="A33" s="7">
        <v>3</v>
      </c>
      <c r="B33" s="7">
        <v>66</v>
      </c>
      <c r="C33" s="7" t="s">
        <v>16</v>
      </c>
      <c r="D33" s="7" t="s">
        <v>17</v>
      </c>
      <c r="E33" s="7" t="s">
        <v>23</v>
      </c>
      <c r="F33" s="7" t="s">
        <v>24</v>
      </c>
      <c r="G33" s="7" t="s">
        <v>25</v>
      </c>
      <c r="H33" s="16">
        <v>0.16340872311354604</v>
      </c>
      <c r="I33" s="8">
        <v>0</v>
      </c>
      <c r="J33" s="12">
        <v>1.4170000000003711</v>
      </c>
      <c r="K33" s="7">
        <v>2</v>
      </c>
      <c r="L33" s="7" t="s">
        <v>21</v>
      </c>
      <c r="M33" s="19" t="s">
        <v>22</v>
      </c>
    </row>
    <row r="34" spans="1:13" ht="28.05" customHeight="1">
      <c r="A34" s="7">
        <v>4</v>
      </c>
      <c r="B34" s="7">
        <v>66</v>
      </c>
      <c r="C34" s="7" t="s">
        <v>16</v>
      </c>
      <c r="D34" s="7" t="s">
        <v>17</v>
      </c>
      <c r="E34" s="7" t="s">
        <v>26</v>
      </c>
      <c r="F34" s="7" t="s">
        <v>27</v>
      </c>
      <c r="G34" s="7" t="s">
        <v>25</v>
      </c>
      <c r="H34" s="16">
        <v>0.16683648560526174</v>
      </c>
      <c r="I34" s="8">
        <v>0</v>
      </c>
      <c r="J34" s="12">
        <v>0</v>
      </c>
      <c r="K34" s="7">
        <v>1</v>
      </c>
      <c r="L34" s="7" t="s">
        <v>21</v>
      </c>
      <c r="M34" s="19" t="s">
        <v>22</v>
      </c>
    </row>
    <row r="35" spans="1:13" ht="28.05" customHeight="1">
      <c r="A35" s="7">
        <v>5</v>
      </c>
      <c r="B35" s="7">
        <v>66</v>
      </c>
      <c r="C35" s="7" t="s">
        <v>16</v>
      </c>
      <c r="D35" s="7" t="s">
        <v>17</v>
      </c>
      <c r="E35" s="7" t="s">
        <v>28</v>
      </c>
      <c r="F35" s="7" t="s">
        <v>29</v>
      </c>
      <c r="G35" s="7" t="s">
        <v>25</v>
      </c>
      <c r="H35" s="16">
        <v>0.11691107319935616</v>
      </c>
      <c r="I35" s="8">
        <v>0</v>
      </c>
      <c r="J35" s="12">
        <v>0</v>
      </c>
      <c r="K35" s="7">
        <v>3</v>
      </c>
      <c r="L35" s="7" t="s">
        <v>21</v>
      </c>
      <c r="M35" s="19" t="s">
        <v>22</v>
      </c>
    </row>
    <row r="36" spans="1:13" ht="28.05" customHeight="1">
      <c r="A36" s="7">
        <v>6</v>
      </c>
      <c r="B36" s="7">
        <v>66</v>
      </c>
      <c r="C36" s="7" t="s">
        <v>16</v>
      </c>
      <c r="D36" s="7" t="s">
        <v>17</v>
      </c>
      <c r="E36" s="7" t="s">
        <v>26</v>
      </c>
      <c r="F36" s="7" t="s">
        <v>27</v>
      </c>
      <c r="G36" s="7" t="s">
        <v>25</v>
      </c>
      <c r="H36" s="16">
        <v>0.13430140894305267</v>
      </c>
      <c r="I36" s="8">
        <v>0</v>
      </c>
      <c r="J36" s="12">
        <v>0</v>
      </c>
      <c r="K36" s="7">
        <v>1</v>
      </c>
      <c r="L36" s="7" t="s">
        <v>21</v>
      </c>
      <c r="M36" s="19" t="s">
        <v>22</v>
      </c>
    </row>
    <row r="37" spans="1:13" ht="28.05" customHeight="1">
      <c r="A37" s="7">
        <v>7</v>
      </c>
      <c r="B37" s="7">
        <v>66</v>
      </c>
      <c r="C37" s="7" t="s">
        <v>16</v>
      </c>
      <c r="D37" s="7" t="s">
        <v>17</v>
      </c>
      <c r="E37" s="7" t="s">
        <v>46</v>
      </c>
      <c r="F37" s="7" t="s">
        <v>27</v>
      </c>
      <c r="G37" s="7" t="s">
        <v>20</v>
      </c>
      <c r="H37" s="16">
        <v>0.28392266227921498</v>
      </c>
      <c r="I37" s="8">
        <v>0</v>
      </c>
      <c r="J37" s="12">
        <v>0</v>
      </c>
      <c r="K37" s="7">
        <v>2</v>
      </c>
      <c r="L37" s="7" t="s">
        <v>21</v>
      </c>
      <c r="M37" s="19" t="s">
        <v>22</v>
      </c>
    </row>
    <row r="38" spans="1:13" ht="28.05" customHeight="1">
      <c r="A38" s="7">
        <v>8</v>
      </c>
      <c r="B38" s="7">
        <v>66</v>
      </c>
      <c r="C38" s="7" t="s">
        <v>16</v>
      </c>
      <c r="D38" s="7" t="s">
        <v>17</v>
      </c>
      <c r="E38" s="7" t="s">
        <v>23</v>
      </c>
      <c r="F38" s="7" t="s">
        <v>24</v>
      </c>
      <c r="G38" s="7" t="s">
        <v>25</v>
      </c>
      <c r="H38" s="16">
        <v>0.23464432198390267</v>
      </c>
      <c r="I38" s="8">
        <v>4.0145097633938693E-3</v>
      </c>
      <c r="J38" s="12">
        <v>0.60649999999986903</v>
      </c>
      <c r="K38" s="7">
        <v>2</v>
      </c>
      <c r="L38" s="7" t="s">
        <v>21</v>
      </c>
      <c r="M38" s="19" t="s">
        <v>22</v>
      </c>
    </row>
    <row r="39" spans="1:13" ht="28.05" customHeight="1">
      <c r="A39" s="7">
        <v>9</v>
      </c>
      <c r="B39" s="7">
        <v>66</v>
      </c>
      <c r="C39" s="7" t="s">
        <v>16</v>
      </c>
      <c r="D39" s="7" t="s">
        <v>17</v>
      </c>
      <c r="E39" s="7" t="s">
        <v>47</v>
      </c>
      <c r="F39" s="7" t="s">
        <v>48</v>
      </c>
      <c r="G39" s="7" t="s">
        <v>25</v>
      </c>
      <c r="H39" s="16">
        <v>0.29597126746621355</v>
      </c>
      <c r="I39" s="8">
        <v>5.5190432284369833E-3</v>
      </c>
      <c r="J39" s="12">
        <v>0</v>
      </c>
      <c r="K39" s="7">
        <v>3</v>
      </c>
      <c r="L39" s="7" t="s">
        <v>21</v>
      </c>
      <c r="M39" s="19" t="s">
        <v>22</v>
      </c>
    </row>
    <row r="40" spans="1:13" ht="28.05" customHeight="1">
      <c r="A40" s="7">
        <v>10</v>
      </c>
      <c r="B40" s="7">
        <v>66</v>
      </c>
      <c r="C40" s="7" t="s">
        <v>16</v>
      </c>
      <c r="D40" s="7" t="s">
        <v>17</v>
      </c>
      <c r="E40" s="7" t="s">
        <v>49</v>
      </c>
      <c r="F40" s="7" t="s">
        <v>33</v>
      </c>
      <c r="G40" s="7" t="s">
        <v>40</v>
      </c>
      <c r="H40" s="16">
        <v>0.13750250973122399</v>
      </c>
      <c r="I40" s="8">
        <v>0</v>
      </c>
      <c r="J40" s="12">
        <v>0</v>
      </c>
      <c r="K40" s="7">
        <v>4</v>
      </c>
      <c r="L40" s="7" t="s">
        <v>21</v>
      </c>
      <c r="M40" s="19" t="s">
        <v>22</v>
      </c>
    </row>
    <row r="41" spans="1:13" ht="28.05" customHeight="1">
      <c r="A41" s="7">
        <v>11</v>
      </c>
      <c r="B41" s="7">
        <v>66</v>
      </c>
      <c r="C41" s="7" t="s">
        <v>16</v>
      </c>
      <c r="D41" s="7" t="s">
        <v>17</v>
      </c>
      <c r="E41" s="7" t="s">
        <v>18</v>
      </c>
      <c r="F41" s="7" t="s">
        <v>19</v>
      </c>
      <c r="G41" s="7" t="s">
        <v>20</v>
      </c>
      <c r="H41" s="16">
        <v>0.4738040052501642</v>
      </c>
      <c r="I41" s="8">
        <v>0</v>
      </c>
      <c r="J41" s="12">
        <v>0</v>
      </c>
      <c r="K41" s="7">
        <v>4</v>
      </c>
      <c r="L41" s="7" t="s">
        <v>21</v>
      </c>
      <c r="M41" s="19" t="s">
        <v>22</v>
      </c>
    </row>
    <row r="42" spans="1:13" ht="28.05" customHeight="1">
      <c r="A42" s="7">
        <v>12</v>
      </c>
      <c r="B42" s="7">
        <v>66</v>
      </c>
      <c r="C42" s="7" t="s">
        <v>16</v>
      </c>
      <c r="D42" s="7" t="s">
        <v>17</v>
      </c>
      <c r="E42" s="7" t="s">
        <v>50</v>
      </c>
      <c r="F42" s="7" t="s">
        <v>51</v>
      </c>
      <c r="G42" s="7" t="s">
        <v>25</v>
      </c>
      <c r="H42" s="16">
        <v>1.1562194463586306</v>
      </c>
      <c r="I42" s="8">
        <v>0</v>
      </c>
      <c r="J42" s="12">
        <v>1.056999999999789</v>
      </c>
      <c r="K42" s="7">
        <v>4</v>
      </c>
      <c r="L42" s="7" t="s">
        <v>21</v>
      </c>
      <c r="M42" s="19" t="s">
        <v>22</v>
      </c>
    </row>
    <row r="43" spans="1:13" ht="28.05" customHeight="1">
      <c r="A43" s="7">
        <v>13</v>
      </c>
      <c r="B43" s="7">
        <v>66</v>
      </c>
      <c r="C43" s="7" t="s">
        <v>16</v>
      </c>
      <c r="D43" s="7" t="s">
        <v>17</v>
      </c>
      <c r="E43" s="7" t="s">
        <v>38</v>
      </c>
      <c r="F43" s="7" t="s">
        <v>39</v>
      </c>
      <c r="G43" s="7" t="s">
        <v>40</v>
      </c>
      <c r="H43" s="16">
        <v>1.845651860690773</v>
      </c>
      <c r="I43" s="8">
        <v>5.2327562999668678E-4</v>
      </c>
      <c r="J43" s="12">
        <v>0</v>
      </c>
      <c r="K43" s="7">
        <v>6</v>
      </c>
      <c r="L43" s="7" t="s">
        <v>21</v>
      </c>
      <c r="M43" s="19" t="s">
        <v>22</v>
      </c>
    </row>
    <row r="44" spans="1:13" ht="28.05" customHeight="1">
      <c r="A44" s="7">
        <v>1</v>
      </c>
      <c r="B44" s="7">
        <v>132</v>
      </c>
      <c r="C44" s="7" t="s">
        <v>16</v>
      </c>
      <c r="D44" s="7" t="s">
        <v>17</v>
      </c>
      <c r="E44" s="7" t="s">
        <v>41</v>
      </c>
      <c r="F44" s="7" t="s">
        <v>19</v>
      </c>
      <c r="G44" s="7" t="s">
        <v>25</v>
      </c>
      <c r="H44" s="16">
        <v>0.15547893407594704</v>
      </c>
      <c r="I44" s="8">
        <v>0</v>
      </c>
      <c r="J44" s="12">
        <v>1.6550000000002001</v>
      </c>
      <c r="K44" s="7">
        <v>3</v>
      </c>
      <c r="L44" s="7" t="s">
        <v>21</v>
      </c>
      <c r="M44" s="19" t="s">
        <v>22</v>
      </c>
    </row>
    <row r="45" spans="1:13" ht="28.05" customHeight="1">
      <c r="A45" s="7">
        <v>2</v>
      </c>
      <c r="B45" s="7">
        <v>132</v>
      </c>
      <c r="C45" s="7" t="s">
        <v>16</v>
      </c>
      <c r="D45" s="7" t="s">
        <v>17</v>
      </c>
      <c r="E45" s="7" t="s">
        <v>23</v>
      </c>
      <c r="F45" s="7" t="s">
        <v>24</v>
      </c>
      <c r="G45" s="7" t="s">
        <v>25</v>
      </c>
      <c r="H45" s="16">
        <v>0.19188415806862227</v>
      </c>
      <c r="I45" s="8">
        <v>0</v>
      </c>
      <c r="J45" s="12">
        <v>0</v>
      </c>
      <c r="K45" s="7">
        <v>2</v>
      </c>
      <c r="L45" s="7" t="s">
        <v>21</v>
      </c>
      <c r="M45" s="19" t="s">
        <v>22</v>
      </c>
    </row>
    <row r="46" spans="1:13" ht="28.05" customHeight="1">
      <c r="A46" s="7">
        <v>3</v>
      </c>
      <c r="B46" s="7">
        <v>132</v>
      </c>
      <c r="C46" s="7" t="s">
        <v>16</v>
      </c>
      <c r="D46" s="7" t="s">
        <v>17</v>
      </c>
      <c r="E46" s="7" t="s">
        <v>23</v>
      </c>
      <c r="F46" s="7" t="s">
        <v>24</v>
      </c>
      <c r="G46" s="7" t="s">
        <v>25</v>
      </c>
      <c r="H46" s="16">
        <v>0.15601655488874028</v>
      </c>
      <c r="I46" s="8">
        <v>0</v>
      </c>
      <c r="J46" s="12">
        <v>1.4170000000003711</v>
      </c>
      <c r="K46" s="7">
        <v>2</v>
      </c>
      <c r="L46" s="7" t="s">
        <v>21</v>
      </c>
      <c r="M46" s="19" t="s">
        <v>22</v>
      </c>
    </row>
    <row r="47" spans="1:13" ht="28.05" customHeight="1">
      <c r="A47" s="7">
        <v>4</v>
      </c>
      <c r="B47" s="7">
        <v>132</v>
      </c>
      <c r="C47" s="7" t="s">
        <v>16</v>
      </c>
      <c r="D47" s="7" t="s">
        <v>17</v>
      </c>
      <c r="E47" s="7" t="s">
        <v>32</v>
      </c>
      <c r="F47" s="7" t="s">
        <v>33</v>
      </c>
      <c r="G47" s="7" t="s">
        <v>25</v>
      </c>
      <c r="H47" s="16">
        <v>0.17296132361809313</v>
      </c>
      <c r="I47" s="8">
        <v>0</v>
      </c>
      <c r="J47" s="12">
        <v>0</v>
      </c>
      <c r="K47" s="7">
        <v>2</v>
      </c>
      <c r="L47" s="7" t="s">
        <v>21</v>
      </c>
      <c r="M47" s="19" t="s">
        <v>22</v>
      </c>
    </row>
    <row r="48" spans="1:13" ht="28.05" customHeight="1">
      <c r="A48" s="7">
        <v>5</v>
      </c>
      <c r="B48" s="7">
        <v>132</v>
      </c>
      <c r="C48" s="7" t="s">
        <v>16</v>
      </c>
      <c r="D48" s="7" t="s">
        <v>17</v>
      </c>
      <c r="E48" s="7" t="s">
        <v>28</v>
      </c>
      <c r="F48" s="7" t="s">
        <v>29</v>
      </c>
      <c r="G48" s="7" t="s">
        <v>25</v>
      </c>
      <c r="H48" s="16">
        <v>0.13982612161879876</v>
      </c>
      <c r="I48" s="8">
        <v>0</v>
      </c>
      <c r="J48" s="12">
        <v>0</v>
      </c>
      <c r="K48" s="7">
        <v>3</v>
      </c>
      <c r="L48" s="7" t="s">
        <v>21</v>
      </c>
      <c r="M48" s="19" t="s">
        <v>22</v>
      </c>
    </row>
    <row r="49" spans="1:13" ht="28.05" customHeight="1">
      <c r="A49" s="7">
        <v>6</v>
      </c>
      <c r="B49" s="7">
        <v>132</v>
      </c>
      <c r="C49" s="7" t="s">
        <v>16</v>
      </c>
      <c r="D49" s="7" t="s">
        <v>17</v>
      </c>
      <c r="E49" s="7" t="s">
        <v>26</v>
      </c>
      <c r="F49" s="7" t="s">
        <v>27</v>
      </c>
      <c r="G49" s="7" t="s">
        <v>25</v>
      </c>
      <c r="H49" s="16">
        <v>0.16240691905087826</v>
      </c>
      <c r="I49" s="8">
        <v>8.6954139575718369E-4</v>
      </c>
      <c r="J49" s="12">
        <v>0</v>
      </c>
      <c r="K49" s="7">
        <v>1</v>
      </c>
      <c r="L49" s="7" t="s">
        <v>21</v>
      </c>
      <c r="M49" s="19" t="s">
        <v>22</v>
      </c>
    </row>
    <row r="50" spans="1:13" ht="28.05" customHeight="1">
      <c r="A50" s="7">
        <v>7</v>
      </c>
      <c r="B50" s="7">
        <v>132</v>
      </c>
      <c r="C50" s="7" t="s">
        <v>16</v>
      </c>
      <c r="D50" s="7" t="s">
        <v>17</v>
      </c>
      <c r="E50" s="7" t="s">
        <v>46</v>
      </c>
      <c r="F50" s="7" t="s">
        <v>27</v>
      </c>
      <c r="G50" s="7" t="s">
        <v>20</v>
      </c>
      <c r="H50" s="16">
        <v>0.34938996755868268</v>
      </c>
      <c r="I50" s="8">
        <v>0</v>
      </c>
      <c r="J50" s="12">
        <v>0</v>
      </c>
      <c r="K50" s="7">
        <v>2</v>
      </c>
      <c r="L50" s="7" t="s">
        <v>21</v>
      </c>
      <c r="M50" s="19" t="s">
        <v>22</v>
      </c>
    </row>
    <row r="51" spans="1:13" ht="28.05" customHeight="1">
      <c r="A51" s="7">
        <v>8</v>
      </c>
      <c r="B51" s="7">
        <v>132</v>
      </c>
      <c r="C51" s="7" t="s">
        <v>16</v>
      </c>
      <c r="D51" s="7" t="s">
        <v>17</v>
      </c>
      <c r="E51" s="7" t="s">
        <v>23</v>
      </c>
      <c r="F51" s="7" t="s">
        <v>24</v>
      </c>
      <c r="G51" s="7" t="s">
        <v>25</v>
      </c>
      <c r="H51" s="16">
        <v>0.28943159147806785</v>
      </c>
      <c r="I51" s="8">
        <v>6.6967363802729035E-3</v>
      </c>
      <c r="J51" s="12">
        <v>0.60649999999986903</v>
      </c>
      <c r="K51" s="7">
        <v>2</v>
      </c>
      <c r="L51" s="7" t="s">
        <v>21</v>
      </c>
      <c r="M51" s="19" t="s">
        <v>22</v>
      </c>
    </row>
    <row r="52" spans="1:13" ht="28.05" customHeight="1">
      <c r="A52" s="7">
        <v>9</v>
      </c>
      <c r="B52" s="7">
        <v>132</v>
      </c>
      <c r="C52" s="7" t="s">
        <v>16</v>
      </c>
      <c r="D52" s="7" t="s">
        <v>17</v>
      </c>
      <c r="E52" s="7" t="s">
        <v>47</v>
      </c>
      <c r="F52" s="7" t="s">
        <v>48</v>
      </c>
      <c r="G52" s="7" t="s">
        <v>25</v>
      </c>
      <c r="H52" s="16">
        <v>0.30672070379594923</v>
      </c>
      <c r="I52" s="8">
        <v>6.223367490049413E-3</v>
      </c>
      <c r="J52" s="12">
        <v>0</v>
      </c>
      <c r="K52" s="7">
        <v>3</v>
      </c>
      <c r="L52" s="7" t="s">
        <v>21</v>
      </c>
      <c r="M52" s="19" t="s">
        <v>22</v>
      </c>
    </row>
    <row r="53" spans="1:13" ht="28.05" customHeight="1">
      <c r="A53" s="7">
        <v>10</v>
      </c>
      <c r="B53" s="7">
        <v>132</v>
      </c>
      <c r="C53" s="7" t="s">
        <v>16</v>
      </c>
      <c r="D53" s="7" t="s">
        <v>17</v>
      </c>
      <c r="E53" s="7" t="s">
        <v>49</v>
      </c>
      <c r="F53" s="7" t="s">
        <v>33</v>
      </c>
      <c r="G53" s="7" t="s">
        <v>40</v>
      </c>
      <c r="H53" s="16">
        <v>0.15465937853811643</v>
      </c>
      <c r="I53" s="8">
        <v>0</v>
      </c>
      <c r="J53" s="12">
        <v>0</v>
      </c>
      <c r="K53" s="7">
        <v>4</v>
      </c>
      <c r="L53" s="7" t="s">
        <v>21</v>
      </c>
      <c r="M53" s="19" t="s">
        <v>22</v>
      </c>
    </row>
    <row r="54" spans="1:13" ht="28.05" customHeight="1">
      <c r="A54" s="7">
        <v>11</v>
      </c>
      <c r="B54" s="7">
        <v>132</v>
      </c>
      <c r="C54" s="7" t="s">
        <v>16</v>
      </c>
      <c r="D54" s="7" t="s">
        <v>17</v>
      </c>
      <c r="E54" s="7" t="s">
        <v>18</v>
      </c>
      <c r="F54" s="7" t="s">
        <v>19</v>
      </c>
      <c r="G54" s="7" t="s">
        <v>20</v>
      </c>
      <c r="H54" s="16">
        <v>0.43549616155646809</v>
      </c>
      <c r="I54" s="8">
        <v>0</v>
      </c>
      <c r="J54" s="12">
        <v>0</v>
      </c>
      <c r="K54" s="7">
        <v>4</v>
      </c>
      <c r="L54" s="7" t="s">
        <v>21</v>
      </c>
      <c r="M54" s="19" t="s">
        <v>22</v>
      </c>
    </row>
    <row r="55" spans="1:13" ht="28.05" customHeight="1">
      <c r="A55" s="7">
        <v>12</v>
      </c>
      <c r="B55" s="7">
        <v>132</v>
      </c>
      <c r="C55" s="7" t="s">
        <v>16</v>
      </c>
      <c r="D55" s="7" t="s">
        <v>17</v>
      </c>
      <c r="E55" s="7" t="s">
        <v>50</v>
      </c>
      <c r="F55" s="7" t="s">
        <v>51</v>
      </c>
      <c r="G55" s="7" t="s">
        <v>25</v>
      </c>
      <c r="H55" s="16">
        <v>1.1742887010878014</v>
      </c>
      <c r="I55" s="8">
        <v>0</v>
      </c>
      <c r="J55" s="12">
        <v>1.056999999999789</v>
      </c>
      <c r="K55" s="7">
        <v>4</v>
      </c>
      <c r="L55" s="7" t="s">
        <v>21</v>
      </c>
      <c r="M55" s="19" t="s">
        <v>22</v>
      </c>
    </row>
    <row r="56" spans="1:13" ht="28.05" customHeight="1">
      <c r="A56" s="7">
        <v>13</v>
      </c>
      <c r="B56" s="7">
        <v>132</v>
      </c>
      <c r="C56" s="7" t="s">
        <v>16</v>
      </c>
      <c r="D56" s="7" t="s">
        <v>17</v>
      </c>
      <c r="E56" s="7" t="s">
        <v>38</v>
      </c>
      <c r="F56" s="7" t="s">
        <v>39</v>
      </c>
      <c r="G56" s="7" t="s">
        <v>40</v>
      </c>
      <c r="H56" s="16">
        <v>1.8343843240244135</v>
      </c>
      <c r="I56" s="8">
        <v>6.1734084518386947E-4</v>
      </c>
      <c r="J56" s="12">
        <v>0</v>
      </c>
      <c r="K56" s="7">
        <v>6</v>
      </c>
      <c r="L56" s="7" t="s">
        <v>21</v>
      </c>
      <c r="M56" s="19" t="s">
        <v>22</v>
      </c>
    </row>
  </sheetData>
  <mergeCells count="3">
    <mergeCell ref="A1:M1"/>
    <mergeCell ref="A2:M2"/>
    <mergeCell ref="A3:M3"/>
  </mergeCells>
  <conditionalFormatting sqref="L5:L56">
    <cfRule type="containsText" dxfId="5" priority="1" operator="containsText" text="joint_acceptable"/>
    <cfRule type="containsText" dxfId="4" priority="2" operator="containsText" text="fallback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8"/>
  <sheetViews>
    <sheetView showGridLines="0" workbookViewId="0"/>
  </sheetViews>
  <sheetFormatPr defaultRowHeight="13.8"/>
  <cols>
    <col min="1" max="2" width="10" customWidth="1"/>
    <col min="3" max="6" width="20" customWidth="1"/>
    <col min="7" max="12" width="17" customWidth="1"/>
    <col min="13" max="23" width="16" customWidth="1"/>
    <col min="24" max="26" width="18" customWidth="1"/>
    <col min="27" max="27" width="56" customWidth="1"/>
  </cols>
  <sheetData>
    <row r="1" spans="1:27" ht="30" customHeight="1">
      <c r="A1" s="22" t="s">
        <v>52</v>
      </c>
      <c r="B1" s="22" t="s">
        <v>52</v>
      </c>
      <c r="C1" s="22" t="s">
        <v>52</v>
      </c>
      <c r="D1" s="22" t="s">
        <v>52</v>
      </c>
      <c r="E1" s="22" t="s">
        <v>52</v>
      </c>
      <c r="F1" s="22" t="s">
        <v>52</v>
      </c>
      <c r="G1" s="22" t="s">
        <v>52</v>
      </c>
      <c r="H1" s="22" t="s">
        <v>52</v>
      </c>
      <c r="I1" s="22" t="s">
        <v>52</v>
      </c>
      <c r="J1" s="22" t="s">
        <v>52</v>
      </c>
      <c r="K1" s="22" t="s">
        <v>52</v>
      </c>
      <c r="L1" s="22" t="s">
        <v>52</v>
      </c>
      <c r="M1" s="22" t="s">
        <v>52</v>
      </c>
      <c r="N1" s="22" t="s">
        <v>52</v>
      </c>
      <c r="O1" s="22" t="s">
        <v>52</v>
      </c>
      <c r="P1" s="22" t="s">
        <v>52</v>
      </c>
      <c r="Q1" s="22" t="s">
        <v>52</v>
      </c>
      <c r="R1" s="22" t="s">
        <v>52</v>
      </c>
      <c r="S1" s="22" t="s">
        <v>52</v>
      </c>
      <c r="T1" s="22" t="s">
        <v>52</v>
      </c>
      <c r="U1" s="22" t="s">
        <v>52</v>
      </c>
      <c r="V1" s="22" t="s">
        <v>52</v>
      </c>
      <c r="W1" s="22" t="s">
        <v>52</v>
      </c>
      <c r="X1" s="22" t="s">
        <v>52</v>
      </c>
      <c r="Y1" s="22" t="s">
        <v>52</v>
      </c>
      <c r="Z1" s="22" t="s">
        <v>52</v>
      </c>
      <c r="AA1" s="22" t="s">
        <v>52</v>
      </c>
    </row>
    <row r="2" spans="1:27" ht="14.4">
      <c r="A2" s="26" t="s">
        <v>53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4" spans="1:27" ht="30" customHeight="1">
      <c r="A4" s="1" t="s">
        <v>3</v>
      </c>
      <c r="B4" s="2" t="s">
        <v>4</v>
      </c>
      <c r="C4" s="2" t="s">
        <v>7</v>
      </c>
      <c r="D4" s="2" t="s">
        <v>8</v>
      </c>
      <c r="E4" s="2" t="s">
        <v>9</v>
      </c>
      <c r="F4" s="2" t="s">
        <v>54</v>
      </c>
      <c r="G4" s="2" t="s">
        <v>10</v>
      </c>
      <c r="H4" s="2" t="s">
        <v>55</v>
      </c>
      <c r="I4" s="2" t="s">
        <v>56</v>
      </c>
      <c r="J4" s="2" t="s">
        <v>57</v>
      </c>
      <c r="K4" s="2" t="s">
        <v>11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12</v>
      </c>
      <c r="U4" s="2" t="s">
        <v>66</v>
      </c>
      <c r="V4" s="2" t="s">
        <v>67</v>
      </c>
      <c r="W4" s="2" t="s">
        <v>21</v>
      </c>
      <c r="X4" s="2" t="s">
        <v>13</v>
      </c>
      <c r="Y4" s="2" t="s">
        <v>68</v>
      </c>
      <c r="Z4" s="2" t="s">
        <v>14</v>
      </c>
      <c r="AA4" s="3" t="s">
        <v>15</v>
      </c>
    </row>
    <row r="5" spans="1:27">
      <c r="A5" s="5">
        <v>1</v>
      </c>
      <c r="B5" s="5">
        <v>10</v>
      </c>
      <c r="C5" s="5" t="s">
        <v>18</v>
      </c>
      <c r="D5" s="5" t="s">
        <v>19</v>
      </c>
      <c r="E5" s="5" t="s">
        <v>20</v>
      </c>
      <c r="F5" s="5" t="s">
        <v>69</v>
      </c>
      <c r="G5" s="15">
        <v>0.10202196839480403</v>
      </c>
      <c r="H5" s="15">
        <v>2.7545931466597087</v>
      </c>
      <c r="I5" s="15">
        <v>27</v>
      </c>
      <c r="J5" s="15" t="e">
        <f t="shared" ref="J5:J36" ca="1" si="0">_xludf.MINIFS($G$5:$G$168,$A$5:$A$168,A5,$B$5:$B$168,B5)</f>
        <v>#NAME?</v>
      </c>
      <c r="K5" s="17" t="e">
        <f t="shared" ref="K5:K36" ca="1" si="1">IF(J5=0,0,(G5-J5)/J5)</f>
        <v>#NAME?</v>
      </c>
      <c r="L5" s="5" t="e">
        <f ca="1">K5&lt;=Rules!$B$5</f>
        <v>#NAME?</v>
      </c>
      <c r="M5" s="11">
        <v>-3844.78</v>
      </c>
      <c r="N5" s="11">
        <v>0</v>
      </c>
      <c r="O5" s="11">
        <v>-3836.9679999999998</v>
      </c>
      <c r="P5" s="11">
        <v>0</v>
      </c>
      <c r="Q5" s="11">
        <v>-3858.8510000000001</v>
      </c>
      <c r="R5" s="11">
        <v>0</v>
      </c>
      <c r="S5" s="5">
        <v>3</v>
      </c>
      <c r="T5" s="11">
        <v>0</v>
      </c>
      <c r="U5" s="11">
        <v>0</v>
      </c>
      <c r="V5" s="5" t="b">
        <f>T5&lt;=Rules!$B$4</f>
        <v>1</v>
      </c>
      <c r="W5" s="5" t="e">
        <f t="shared" ref="W5:W36" ca="1" si="2">AND(L5,V5)</f>
        <v>#NAME?</v>
      </c>
      <c r="X5" s="5">
        <v>4</v>
      </c>
      <c r="Y5" s="13" t="b">
        <v>1</v>
      </c>
      <c r="Z5" s="5" t="s">
        <v>21</v>
      </c>
      <c r="AA5" s="5" t="s">
        <v>22</v>
      </c>
    </row>
    <row r="6" spans="1:27">
      <c r="A6" s="7">
        <v>1</v>
      </c>
      <c r="B6" s="7">
        <v>10</v>
      </c>
      <c r="C6" s="7" t="s">
        <v>41</v>
      </c>
      <c r="D6" s="7" t="s">
        <v>19</v>
      </c>
      <c r="E6" s="7" t="s">
        <v>25</v>
      </c>
      <c r="F6" s="7" t="s">
        <v>70</v>
      </c>
      <c r="G6" s="16">
        <v>0.10521148696882493</v>
      </c>
      <c r="H6" s="16">
        <v>2.8407101481582733</v>
      </c>
      <c r="I6" s="16">
        <v>27</v>
      </c>
      <c r="J6" s="16" t="e">
        <f t="shared" ca="1" si="0"/>
        <v>#NAME?</v>
      </c>
      <c r="K6" s="8" t="e">
        <f t="shared" ca="1" si="1"/>
        <v>#NAME?</v>
      </c>
      <c r="L6" s="7" t="e">
        <f ca="1">K6&lt;=Rules!$B$5</f>
        <v>#NAME?</v>
      </c>
      <c r="M6" s="12">
        <v>-3842.27</v>
      </c>
      <c r="N6" s="12">
        <v>2.5100000000002183</v>
      </c>
      <c r="O6" s="12">
        <v>-3836.0250000000001</v>
      </c>
      <c r="P6" s="12">
        <v>0.94299999999975626</v>
      </c>
      <c r="Q6" s="12">
        <v>-3857.1959999999999</v>
      </c>
      <c r="R6" s="12">
        <v>1.6550000000002001</v>
      </c>
      <c r="S6" s="7">
        <v>3</v>
      </c>
      <c r="T6" s="12">
        <v>1.6550000000002001</v>
      </c>
      <c r="U6" s="12">
        <v>2.5100000000002183</v>
      </c>
      <c r="V6" s="7" t="b">
        <f>T6&lt;=Rules!$B$4</f>
        <v>1</v>
      </c>
      <c r="W6" s="7" t="e">
        <f t="shared" ca="1" si="2"/>
        <v>#NAME?</v>
      </c>
      <c r="X6" s="7">
        <v>3</v>
      </c>
      <c r="Y6" s="14" t="b">
        <v>0</v>
      </c>
      <c r="Z6" s="7" t="s">
        <v>71</v>
      </c>
      <c r="AA6" s="7" t="s">
        <v>72</v>
      </c>
    </row>
    <row r="7" spans="1:27">
      <c r="A7" s="7">
        <v>2</v>
      </c>
      <c r="B7" s="7">
        <v>10</v>
      </c>
      <c r="C7" s="7" t="s">
        <v>23</v>
      </c>
      <c r="D7" s="7" t="s">
        <v>24</v>
      </c>
      <c r="E7" s="7" t="s">
        <v>25</v>
      </c>
      <c r="F7" s="7" t="s">
        <v>70</v>
      </c>
      <c r="G7" s="16">
        <v>0.1361064845120819</v>
      </c>
      <c r="H7" s="16">
        <v>3.6748750818262113</v>
      </c>
      <c r="I7" s="16">
        <v>27</v>
      </c>
      <c r="J7" s="16" t="e">
        <f t="shared" ca="1" si="0"/>
        <v>#NAME?</v>
      </c>
      <c r="K7" s="8" t="e">
        <f t="shared" ca="1" si="1"/>
        <v>#NAME?</v>
      </c>
      <c r="L7" s="7" t="e">
        <f ca="1">K7&lt;=Rules!$B$5</f>
        <v>#NAME?</v>
      </c>
      <c r="M7" s="12">
        <v>-4426.0010000000002</v>
      </c>
      <c r="N7" s="12">
        <v>0</v>
      </c>
      <c r="O7" s="12">
        <v>-4425.0050000000001</v>
      </c>
      <c r="P7" s="12">
        <v>0</v>
      </c>
      <c r="Q7" s="12">
        <v>-4432.2709999999997</v>
      </c>
      <c r="R7" s="12">
        <v>0</v>
      </c>
      <c r="S7" s="7">
        <v>3</v>
      </c>
      <c r="T7" s="12">
        <v>0</v>
      </c>
      <c r="U7" s="12">
        <v>0</v>
      </c>
      <c r="V7" s="7" t="b">
        <f>T7&lt;=Rules!$B$4</f>
        <v>1</v>
      </c>
      <c r="W7" s="7" t="e">
        <f t="shared" ca="1" si="2"/>
        <v>#NAME?</v>
      </c>
      <c r="X7" s="7">
        <v>2</v>
      </c>
      <c r="Y7" s="14" t="b">
        <v>1</v>
      </c>
      <c r="Z7" s="7" t="s">
        <v>21</v>
      </c>
      <c r="AA7" s="7" t="s">
        <v>22</v>
      </c>
    </row>
    <row r="8" spans="1:27">
      <c r="A8" s="7">
        <v>3</v>
      </c>
      <c r="B8" s="7">
        <v>10</v>
      </c>
      <c r="C8" s="7" t="s">
        <v>73</v>
      </c>
      <c r="D8" s="7" t="s">
        <v>24</v>
      </c>
      <c r="E8" s="7" t="s">
        <v>40</v>
      </c>
      <c r="F8" s="7" t="s">
        <v>69</v>
      </c>
      <c r="G8" s="16">
        <v>0.15529330892651383</v>
      </c>
      <c r="H8" s="16">
        <v>4.1929193410158732</v>
      </c>
      <c r="I8" s="16">
        <v>27</v>
      </c>
      <c r="J8" s="16" t="e">
        <f t="shared" ca="1" si="0"/>
        <v>#NAME?</v>
      </c>
      <c r="K8" s="8" t="e">
        <f t="shared" ca="1" si="1"/>
        <v>#NAME?</v>
      </c>
      <c r="L8" s="7" t="e">
        <f ca="1">K8&lt;=Rules!$B$5</f>
        <v>#NAME?</v>
      </c>
      <c r="M8" s="12">
        <v>-4495.9780000000001</v>
      </c>
      <c r="N8" s="12">
        <v>0</v>
      </c>
      <c r="O8" s="12">
        <v>-4480.8620000000001</v>
      </c>
      <c r="P8" s="12">
        <v>0</v>
      </c>
      <c r="Q8" s="12">
        <v>-4530.5169999999998</v>
      </c>
      <c r="R8" s="12">
        <v>0</v>
      </c>
      <c r="S8" s="7">
        <v>3</v>
      </c>
      <c r="T8" s="12">
        <v>0</v>
      </c>
      <c r="U8" s="12">
        <v>0</v>
      </c>
      <c r="V8" s="7" t="b">
        <f>T8&lt;=Rules!$B$4</f>
        <v>1</v>
      </c>
      <c r="W8" s="7" t="e">
        <f t="shared" ca="1" si="2"/>
        <v>#NAME?</v>
      </c>
      <c r="X8" s="7">
        <v>4</v>
      </c>
      <c r="Y8" s="14" t="b">
        <v>0</v>
      </c>
      <c r="Z8" s="7" t="s">
        <v>71</v>
      </c>
      <c r="AA8" s="7" t="s">
        <v>72</v>
      </c>
    </row>
    <row r="9" spans="1:27">
      <c r="A9" s="7">
        <v>3</v>
      </c>
      <c r="B9" s="7">
        <v>10</v>
      </c>
      <c r="C9" s="7" t="s">
        <v>23</v>
      </c>
      <c r="D9" s="7" t="s">
        <v>24</v>
      </c>
      <c r="E9" s="7" t="s">
        <v>25</v>
      </c>
      <c r="F9" s="7" t="s">
        <v>70</v>
      </c>
      <c r="G9" s="16">
        <v>0.1557666274815043</v>
      </c>
      <c r="H9" s="16">
        <v>4.2056989420006161</v>
      </c>
      <c r="I9" s="16">
        <v>27</v>
      </c>
      <c r="J9" s="16" t="e">
        <f t="shared" ca="1" si="0"/>
        <v>#NAME?</v>
      </c>
      <c r="K9" s="8" t="e">
        <f t="shared" ca="1" si="1"/>
        <v>#NAME?</v>
      </c>
      <c r="L9" s="7" t="e">
        <f ca="1">K9&lt;=Rules!$B$5</f>
        <v>#NAME?</v>
      </c>
      <c r="M9" s="12">
        <v>-4494.5609999999997</v>
      </c>
      <c r="N9" s="12">
        <v>1.4170000000003711</v>
      </c>
      <c r="O9" s="12">
        <v>-4479.2820000000002</v>
      </c>
      <c r="P9" s="12">
        <v>1.5799999999999272</v>
      </c>
      <c r="Q9" s="12">
        <v>-4529.1369999999997</v>
      </c>
      <c r="R9" s="12">
        <v>1.3800000000001091</v>
      </c>
      <c r="S9" s="7">
        <v>3</v>
      </c>
      <c r="T9" s="12">
        <v>1.4170000000003711</v>
      </c>
      <c r="U9" s="12">
        <v>1.5799999999999272</v>
      </c>
      <c r="V9" s="7" t="b">
        <f>T9&lt;=Rules!$B$4</f>
        <v>1</v>
      </c>
      <c r="W9" s="7" t="e">
        <f t="shared" ca="1" si="2"/>
        <v>#NAME?</v>
      </c>
      <c r="X9" s="7">
        <v>2</v>
      </c>
      <c r="Y9" s="14" t="b">
        <v>1</v>
      </c>
      <c r="Z9" s="7" t="s">
        <v>21</v>
      </c>
      <c r="AA9" s="7" t="s">
        <v>22</v>
      </c>
    </row>
    <row r="10" spans="1:27">
      <c r="A10" s="7">
        <v>4</v>
      </c>
      <c r="B10" s="7">
        <v>10</v>
      </c>
      <c r="C10" s="7" t="s">
        <v>26</v>
      </c>
      <c r="D10" s="7" t="s">
        <v>27</v>
      </c>
      <c r="E10" s="7" t="s">
        <v>25</v>
      </c>
      <c r="F10" s="7" t="s">
        <v>70</v>
      </c>
      <c r="G10" s="16">
        <v>0.15993545953300364</v>
      </c>
      <c r="H10" s="16">
        <v>4.3182574073910986</v>
      </c>
      <c r="I10" s="16">
        <v>27</v>
      </c>
      <c r="J10" s="16" t="e">
        <f t="shared" ca="1" si="0"/>
        <v>#NAME?</v>
      </c>
      <c r="K10" s="8" t="e">
        <f t="shared" ca="1" si="1"/>
        <v>#NAME?</v>
      </c>
      <c r="L10" s="7" t="e">
        <f ca="1">K10&lt;=Rules!$B$5</f>
        <v>#NAME?</v>
      </c>
      <c r="M10" s="12"/>
      <c r="N10" s="12"/>
      <c r="O10" s="12"/>
      <c r="P10" s="12"/>
      <c r="Q10" s="12">
        <v>-3808.904</v>
      </c>
      <c r="R10" s="12">
        <v>0</v>
      </c>
      <c r="S10" s="7">
        <v>1</v>
      </c>
      <c r="T10" s="12">
        <v>0</v>
      </c>
      <c r="U10" s="12">
        <v>0</v>
      </c>
      <c r="V10" s="7" t="b">
        <f>T10&lt;=Rules!$B$4</f>
        <v>1</v>
      </c>
      <c r="W10" s="7" t="e">
        <f t="shared" ca="1" si="2"/>
        <v>#NAME?</v>
      </c>
      <c r="X10" s="7">
        <v>1</v>
      </c>
      <c r="Y10" s="14" t="b">
        <v>1</v>
      </c>
      <c r="Z10" s="7" t="s">
        <v>21</v>
      </c>
      <c r="AA10" s="7" t="s">
        <v>22</v>
      </c>
    </row>
    <row r="11" spans="1:27">
      <c r="A11" s="7">
        <v>4</v>
      </c>
      <c r="B11" s="7">
        <v>10</v>
      </c>
      <c r="C11" s="7" t="s">
        <v>32</v>
      </c>
      <c r="D11" s="7" t="s">
        <v>33</v>
      </c>
      <c r="E11" s="7" t="s">
        <v>25</v>
      </c>
      <c r="F11" s="7" t="s">
        <v>70</v>
      </c>
      <c r="G11" s="16">
        <v>0.16198423221149152</v>
      </c>
      <c r="H11" s="16">
        <v>4.3735742697102715</v>
      </c>
      <c r="I11" s="16">
        <v>27</v>
      </c>
      <c r="J11" s="16" t="e">
        <f t="shared" ca="1" si="0"/>
        <v>#NAME?</v>
      </c>
      <c r="K11" s="8" t="e">
        <f t="shared" ca="1" si="1"/>
        <v>#NAME?</v>
      </c>
      <c r="L11" s="7" t="e">
        <f ca="1">K11&lt;=Rules!$B$5</f>
        <v>#NAME?</v>
      </c>
      <c r="M11" s="12">
        <v>-3772.0070000000001</v>
      </c>
      <c r="N11" s="12">
        <v>0</v>
      </c>
      <c r="O11" s="12">
        <v>-3771.1190000000001</v>
      </c>
      <c r="P11" s="12">
        <v>0</v>
      </c>
      <c r="Q11" s="12"/>
      <c r="R11" s="12"/>
      <c r="S11" s="7">
        <v>2</v>
      </c>
      <c r="T11" s="12">
        <v>0</v>
      </c>
      <c r="U11" s="12">
        <v>0</v>
      </c>
      <c r="V11" s="7" t="b">
        <f>T11&lt;=Rules!$B$4</f>
        <v>1</v>
      </c>
      <c r="W11" s="7" t="e">
        <f t="shared" ca="1" si="2"/>
        <v>#NAME?</v>
      </c>
      <c r="X11" s="7">
        <v>2</v>
      </c>
      <c r="Y11" s="14" t="b">
        <v>0</v>
      </c>
      <c r="Z11" s="7" t="s">
        <v>71</v>
      </c>
      <c r="AA11" s="7" t="s">
        <v>72</v>
      </c>
    </row>
    <row r="12" spans="1:27">
      <c r="A12" s="7">
        <v>5</v>
      </c>
      <c r="B12" s="7">
        <v>10</v>
      </c>
      <c r="C12" s="7" t="s">
        <v>50</v>
      </c>
      <c r="D12" s="7" t="s">
        <v>51</v>
      </c>
      <c r="E12" s="7" t="s">
        <v>25</v>
      </c>
      <c r="F12" s="7" t="s">
        <v>70</v>
      </c>
      <c r="G12" s="16">
        <v>0.1016655219908528</v>
      </c>
      <c r="H12" s="16">
        <v>2.7449690937530256</v>
      </c>
      <c r="I12" s="16">
        <v>27</v>
      </c>
      <c r="J12" s="16" t="e">
        <f t="shared" ca="1" si="0"/>
        <v>#NAME?</v>
      </c>
      <c r="K12" s="8" t="e">
        <f t="shared" ca="1" si="1"/>
        <v>#NAME?</v>
      </c>
      <c r="L12" s="7" t="e">
        <f ca="1">K12&lt;=Rules!$B$5</f>
        <v>#NAME?</v>
      </c>
      <c r="M12" s="12">
        <v>-4907.3909999999996</v>
      </c>
      <c r="N12" s="12">
        <v>35.34900000000016</v>
      </c>
      <c r="O12" s="12"/>
      <c r="P12" s="12"/>
      <c r="Q12" s="12"/>
      <c r="R12" s="12"/>
      <c r="S12" s="7">
        <v>1</v>
      </c>
      <c r="T12" s="12">
        <v>35.34900000000016</v>
      </c>
      <c r="U12" s="12">
        <v>35.34900000000016</v>
      </c>
      <c r="V12" s="7" t="b">
        <f>T12&lt;=Rules!$B$4</f>
        <v>0</v>
      </c>
      <c r="W12" s="7" t="e">
        <f t="shared" ca="1" si="2"/>
        <v>#NAME?</v>
      </c>
      <c r="X12" s="7">
        <v>4</v>
      </c>
      <c r="Y12" s="14" t="b">
        <v>0</v>
      </c>
      <c r="Z12" s="7" t="s">
        <v>71</v>
      </c>
      <c r="AA12" s="7" t="s">
        <v>72</v>
      </c>
    </row>
    <row r="13" spans="1:27">
      <c r="A13" s="7">
        <v>5</v>
      </c>
      <c r="B13" s="7">
        <v>10</v>
      </c>
      <c r="C13" s="7" t="s">
        <v>74</v>
      </c>
      <c r="D13" s="7" t="s">
        <v>75</v>
      </c>
      <c r="E13" s="7" t="s">
        <v>25</v>
      </c>
      <c r="F13" s="7" t="s">
        <v>70</v>
      </c>
      <c r="G13" s="16">
        <v>0.10228087314707242</v>
      </c>
      <c r="H13" s="16">
        <v>2.7615835749709552</v>
      </c>
      <c r="I13" s="16">
        <v>27</v>
      </c>
      <c r="J13" s="16" t="e">
        <f t="shared" ca="1" si="0"/>
        <v>#NAME?</v>
      </c>
      <c r="K13" s="8" t="e">
        <f t="shared" ca="1" si="1"/>
        <v>#NAME?</v>
      </c>
      <c r="L13" s="7" t="e">
        <f ca="1">K13&lt;=Rules!$B$5</f>
        <v>#NAME?</v>
      </c>
      <c r="M13" s="12"/>
      <c r="N13" s="12"/>
      <c r="O13" s="12"/>
      <c r="P13" s="12"/>
      <c r="Q13" s="12">
        <v>-4948.9049999999997</v>
      </c>
      <c r="R13" s="12">
        <v>0</v>
      </c>
      <c r="S13" s="7">
        <v>1</v>
      </c>
      <c r="T13" s="12">
        <v>0</v>
      </c>
      <c r="U13" s="12">
        <v>0</v>
      </c>
      <c r="V13" s="7" t="b">
        <f>T13&lt;=Rules!$B$4</f>
        <v>1</v>
      </c>
      <c r="W13" s="7" t="e">
        <f t="shared" ca="1" si="2"/>
        <v>#NAME?</v>
      </c>
      <c r="X13" s="7">
        <v>4</v>
      </c>
      <c r="Y13" s="14" t="b">
        <v>0</v>
      </c>
      <c r="Z13" s="7" t="s">
        <v>71</v>
      </c>
      <c r="AA13" s="7" t="s">
        <v>72</v>
      </c>
    </row>
    <row r="14" spans="1:27">
      <c r="A14" s="7">
        <v>5</v>
      </c>
      <c r="B14" s="7">
        <v>10</v>
      </c>
      <c r="C14" s="7" t="s">
        <v>28</v>
      </c>
      <c r="D14" s="7" t="s">
        <v>29</v>
      </c>
      <c r="E14" s="7" t="s">
        <v>25</v>
      </c>
      <c r="F14" s="7" t="s">
        <v>70</v>
      </c>
      <c r="G14" s="16">
        <v>0.10261218243624201</v>
      </c>
      <c r="H14" s="16">
        <v>2.7705289257785344</v>
      </c>
      <c r="I14" s="16">
        <v>27</v>
      </c>
      <c r="J14" s="16" t="e">
        <f t="shared" ca="1" si="0"/>
        <v>#NAME?</v>
      </c>
      <c r="K14" s="8" t="e">
        <f t="shared" ca="1" si="1"/>
        <v>#NAME?</v>
      </c>
      <c r="L14" s="7" t="e">
        <f ca="1">K14&lt;=Rules!$B$5</f>
        <v>#NAME?</v>
      </c>
      <c r="M14" s="12">
        <v>-4942.74</v>
      </c>
      <c r="N14" s="12">
        <v>0</v>
      </c>
      <c r="O14" s="12">
        <v>-4940.97</v>
      </c>
      <c r="P14" s="12">
        <v>0</v>
      </c>
      <c r="Q14" s="12"/>
      <c r="R14" s="12"/>
      <c r="S14" s="7">
        <v>2</v>
      </c>
      <c r="T14" s="12">
        <v>0</v>
      </c>
      <c r="U14" s="12">
        <v>0</v>
      </c>
      <c r="V14" s="7" t="b">
        <f>T14&lt;=Rules!$B$4</f>
        <v>1</v>
      </c>
      <c r="W14" s="7" t="e">
        <f t="shared" ca="1" si="2"/>
        <v>#NAME?</v>
      </c>
      <c r="X14" s="7">
        <v>3</v>
      </c>
      <c r="Y14" s="14" t="b">
        <v>1</v>
      </c>
      <c r="Z14" s="7" t="s">
        <v>21</v>
      </c>
      <c r="AA14" s="7" t="s">
        <v>22</v>
      </c>
    </row>
    <row r="15" spans="1:27">
      <c r="A15" s="7">
        <v>5</v>
      </c>
      <c r="B15" s="7">
        <v>10</v>
      </c>
      <c r="C15" s="7" t="s">
        <v>76</v>
      </c>
      <c r="D15" s="7" t="s">
        <v>77</v>
      </c>
      <c r="E15" s="7" t="s">
        <v>20</v>
      </c>
      <c r="F15" s="7" t="s">
        <v>69</v>
      </c>
      <c r="G15" s="16">
        <v>0.12539992143340001</v>
      </c>
      <c r="H15" s="16">
        <v>3.3857978787018004</v>
      </c>
      <c r="I15" s="16">
        <v>27</v>
      </c>
      <c r="J15" s="16" t="e">
        <f t="shared" ca="1" si="0"/>
        <v>#NAME?</v>
      </c>
      <c r="K15" s="8" t="e">
        <f t="shared" ca="1" si="1"/>
        <v>#NAME?</v>
      </c>
      <c r="L15" s="7" t="e">
        <f ca="1">K15&lt;=Rules!$B$5</f>
        <v>#NAME?</v>
      </c>
      <c r="M15" s="12"/>
      <c r="N15" s="12"/>
      <c r="O15" s="12">
        <v>-4836.3519999999999</v>
      </c>
      <c r="P15" s="12">
        <v>104.61800000000039</v>
      </c>
      <c r="Q15" s="12"/>
      <c r="R15" s="12"/>
      <c r="S15" s="7">
        <v>1</v>
      </c>
      <c r="T15" s="12">
        <v>104.61800000000039</v>
      </c>
      <c r="U15" s="12">
        <v>104.61800000000039</v>
      </c>
      <c r="V15" s="7" t="b">
        <f>T15&lt;=Rules!$B$4</f>
        <v>0</v>
      </c>
      <c r="W15" s="7" t="e">
        <f t="shared" ca="1" si="2"/>
        <v>#NAME?</v>
      </c>
      <c r="X15" s="7">
        <v>3</v>
      </c>
      <c r="Y15" s="14" t="b">
        <v>0</v>
      </c>
      <c r="Z15" s="7" t="s">
        <v>71</v>
      </c>
      <c r="AA15" s="7" t="s">
        <v>72</v>
      </c>
    </row>
    <row r="16" spans="1:27">
      <c r="A16" s="7">
        <v>5</v>
      </c>
      <c r="B16" s="7">
        <v>10</v>
      </c>
      <c r="C16" s="7" t="s">
        <v>78</v>
      </c>
      <c r="D16" s="7" t="s">
        <v>79</v>
      </c>
      <c r="E16" s="7" t="s">
        <v>20</v>
      </c>
      <c r="F16" s="7" t="s">
        <v>69</v>
      </c>
      <c r="G16" s="16">
        <v>0.17351136103266682</v>
      </c>
      <c r="H16" s="16">
        <v>4.6848067478820044</v>
      </c>
      <c r="I16" s="16">
        <v>27</v>
      </c>
      <c r="J16" s="16" t="e">
        <f t="shared" ca="1" si="0"/>
        <v>#NAME?</v>
      </c>
      <c r="K16" s="8" t="e">
        <f t="shared" ca="1" si="1"/>
        <v>#NAME?</v>
      </c>
      <c r="L16" s="7" t="e">
        <f ca="1">K16&lt;=Rules!$B$5</f>
        <v>#NAME?</v>
      </c>
      <c r="M16" s="12"/>
      <c r="N16" s="12"/>
      <c r="O16" s="12"/>
      <c r="P16" s="12"/>
      <c r="Q16" s="12">
        <v>-4853.3149999999996</v>
      </c>
      <c r="R16" s="12">
        <v>95.590000000000146</v>
      </c>
      <c r="S16" s="7">
        <v>1</v>
      </c>
      <c r="T16" s="12">
        <v>95.590000000000146</v>
      </c>
      <c r="U16" s="12">
        <v>95.590000000000146</v>
      </c>
      <c r="V16" s="7" t="b">
        <f>T16&lt;=Rules!$B$4</f>
        <v>0</v>
      </c>
      <c r="W16" s="7" t="e">
        <f t="shared" ca="1" si="2"/>
        <v>#NAME?</v>
      </c>
      <c r="X16" s="7">
        <v>2</v>
      </c>
      <c r="Y16" s="14" t="b">
        <v>0</v>
      </c>
      <c r="Z16" s="7" t="s">
        <v>71</v>
      </c>
      <c r="AA16" s="7" t="s">
        <v>72</v>
      </c>
    </row>
    <row r="17" spans="1:27">
      <c r="A17" s="7">
        <v>6</v>
      </c>
      <c r="B17" s="7">
        <v>10</v>
      </c>
      <c r="C17" s="7" t="s">
        <v>30</v>
      </c>
      <c r="D17" s="7" t="s">
        <v>31</v>
      </c>
      <c r="E17" s="7" t="s">
        <v>25</v>
      </c>
      <c r="F17" s="7" t="s">
        <v>70</v>
      </c>
      <c r="G17" s="16">
        <v>0.12703397368823138</v>
      </c>
      <c r="H17" s="16">
        <v>3.4299172895822476</v>
      </c>
      <c r="I17" s="16">
        <v>27</v>
      </c>
      <c r="J17" s="16" t="e">
        <f t="shared" ca="1" si="0"/>
        <v>#NAME?</v>
      </c>
      <c r="K17" s="8" t="e">
        <f t="shared" ca="1" si="1"/>
        <v>#NAME?</v>
      </c>
      <c r="L17" s="7" t="e">
        <f ca="1">K17&lt;=Rules!$B$5</f>
        <v>#NAME?</v>
      </c>
      <c r="M17" s="12"/>
      <c r="N17" s="12"/>
      <c r="O17" s="12"/>
      <c r="P17" s="12"/>
      <c r="Q17" s="12">
        <v>-6152.0640000000003</v>
      </c>
      <c r="R17" s="12">
        <v>0</v>
      </c>
      <c r="S17" s="7">
        <v>1</v>
      </c>
      <c r="T17" s="12">
        <v>0</v>
      </c>
      <c r="U17" s="12">
        <v>0</v>
      </c>
      <c r="V17" s="7" t="b">
        <f>T17&lt;=Rules!$B$4</f>
        <v>1</v>
      </c>
      <c r="W17" s="7" t="e">
        <f t="shared" ca="1" si="2"/>
        <v>#NAME?</v>
      </c>
      <c r="X17" s="7">
        <v>3</v>
      </c>
      <c r="Y17" s="14" t="b">
        <v>0</v>
      </c>
      <c r="Z17" s="7" t="s">
        <v>71</v>
      </c>
      <c r="AA17" s="7" t="s">
        <v>72</v>
      </c>
    </row>
    <row r="18" spans="1:27">
      <c r="A18" s="7">
        <v>6</v>
      </c>
      <c r="B18" s="7">
        <v>10</v>
      </c>
      <c r="C18" s="7" t="s">
        <v>80</v>
      </c>
      <c r="D18" s="7" t="s">
        <v>27</v>
      </c>
      <c r="E18" s="7" t="s">
        <v>81</v>
      </c>
      <c r="F18" s="7" t="s">
        <v>69</v>
      </c>
      <c r="G18" s="16">
        <v>0.12713720137898424</v>
      </c>
      <c r="H18" s="16">
        <v>3.4327044372325748</v>
      </c>
      <c r="I18" s="16">
        <v>27</v>
      </c>
      <c r="J18" s="16" t="e">
        <f t="shared" ca="1" si="0"/>
        <v>#NAME?</v>
      </c>
      <c r="K18" s="8" t="e">
        <f t="shared" ca="1" si="1"/>
        <v>#NAME?</v>
      </c>
      <c r="L18" s="7" t="e">
        <f ca="1">K18&lt;=Rules!$B$5</f>
        <v>#NAME?</v>
      </c>
      <c r="M18" s="12"/>
      <c r="N18" s="12"/>
      <c r="O18" s="12"/>
      <c r="P18" s="12"/>
      <c r="Q18" s="12">
        <v>-6150.4690000000001</v>
      </c>
      <c r="R18" s="12">
        <v>1.5950000000002547</v>
      </c>
      <c r="S18" s="7">
        <v>1</v>
      </c>
      <c r="T18" s="12">
        <v>1.5950000000002547</v>
      </c>
      <c r="U18" s="12">
        <v>1.5950000000002547</v>
      </c>
      <c r="V18" s="7" t="b">
        <f>T18&lt;=Rules!$B$4</f>
        <v>1</v>
      </c>
      <c r="W18" s="7" t="e">
        <f t="shared" ca="1" si="2"/>
        <v>#NAME?</v>
      </c>
      <c r="X18" s="7">
        <v>3</v>
      </c>
      <c r="Y18" s="14" t="b">
        <v>0</v>
      </c>
      <c r="Z18" s="7" t="s">
        <v>71</v>
      </c>
      <c r="AA18" s="7" t="s">
        <v>72</v>
      </c>
    </row>
    <row r="19" spans="1:27">
      <c r="A19" s="7">
        <v>6</v>
      </c>
      <c r="B19" s="7">
        <v>10</v>
      </c>
      <c r="C19" s="7" t="s">
        <v>26</v>
      </c>
      <c r="D19" s="7" t="s">
        <v>27</v>
      </c>
      <c r="E19" s="7" t="s">
        <v>25</v>
      </c>
      <c r="F19" s="7" t="s">
        <v>70</v>
      </c>
      <c r="G19" s="16">
        <v>0.12748419398297053</v>
      </c>
      <c r="H19" s="16">
        <v>3.4420732375402046</v>
      </c>
      <c r="I19" s="16">
        <v>27</v>
      </c>
      <c r="J19" s="16" t="e">
        <f t="shared" ca="1" si="0"/>
        <v>#NAME?</v>
      </c>
      <c r="K19" s="8" t="e">
        <f t="shared" ca="1" si="1"/>
        <v>#NAME?</v>
      </c>
      <c r="L19" s="7" t="e">
        <f ca="1">K19&lt;=Rules!$B$5</f>
        <v>#NAME?</v>
      </c>
      <c r="M19" s="12">
        <v>-6105.4229999999998</v>
      </c>
      <c r="N19" s="12">
        <v>0</v>
      </c>
      <c r="O19" s="12">
        <v>-6094.1440000000002</v>
      </c>
      <c r="P19" s="12">
        <v>0</v>
      </c>
      <c r="Q19" s="12"/>
      <c r="R19" s="12"/>
      <c r="S19" s="7">
        <v>2</v>
      </c>
      <c r="T19" s="12">
        <v>0</v>
      </c>
      <c r="U19" s="12">
        <v>0</v>
      </c>
      <c r="V19" s="7" t="b">
        <f>T19&lt;=Rules!$B$4</f>
        <v>1</v>
      </c>
      <c r="W19" s="7" t="e">
        <f t="shared" ca="1" si="2"/>
        <v>#NAME?</v>
      </c>
      <c r="X19" s="7">
        <v>1</v>
      </c>
      <c r="Y19" s="14" t="b">
        <v>1</v>
      </c>
      <c r="Z19" s="7" t="s">
        <v>21</v>
      </c>
      <c r="AA19" s="7" t="s">
        <v>22</v>
      </c>
    </row>
    <row r="20" spans="1:27">
      <c r="A20" s="7">
        <v>7</v>
      </c>
      <c r="B20" s="7">
        <v>10</v>
      </c>
      <c r="C20" s="7" t="s">
        <v>32</v>
      </c>
      <c r="D20" s="7" t="s">
        <v>33</v>
      </c>
      <c r="E20" s="7" t="s">
        <v>25</v>
      </c>
      <c r="F20" s="7" t="s">
        <v>70</v>
      </c>
      <c r="G20" s="16">
        <v>0.24803441374035734</v>
      </c>
      <c r="H20" s="16">
        <v>6.6969291709896481</v>
      </c>
      <c r="I20" s="16">
        <v>27</v>
      </c>
      <c r="J20" s="16" t="e">
        <f t="shared" ca="1" si="0"/>
        <v>#NAME?</v>
      </c>
      <c r="K20" s="8" t="e">
        <f t="shared" ca="1" si="1"/>
        <v>#NAME?</v>
      </c>
      <c r="L20" s="7" t="e">
        <f ca="1">K20&lt;=Rules!$B$5</f>
        <v>#NAME?</v>
      </c>
      <c r="M20" s="12">
        <v>-7430.7910000000002</v>
      </c>
      <c r="N20" s="12">
        <v>8.488999999999578</v>
      </c>
      <c r="O20" s="12"/>
      <c r="P20" s="12"/>
      <c r="Q20" s="12"/>
      <c r="R20" s="12"/>
      <c r="S20" s="7">
        <v>1</v>
      </c>
      <c r="T20" s="12">
        <v>8.488999999999578</v>
      </c>
      <c r="U20" s="12">
        <v>8.488999999999578</v>
      </c>
      <c r="V20" s="7" t="b">
        <f>T20&lt;=Rules!$B$4</f>
        <v>0</v>
      </c>
      <c r="W20" s="7" t="e">
        <f t="shared" ca="1" si="2"/>
        <v>#NAME?</v>
      </c>
      <c r="X20" s="7">
        <v>2</v>
      </c>
      <c r="Y20" s="14" t="b">
        <v>0</v>
      </c>
      <c r="Z20" s="7" t="s">
        <v>71</v>
      </c>
      <c r="AA20" s="7" t="s">
        <v>72</v>
      </c>
    </row>
    <row r="21" spans="1:27">
      <c r="A21" s="7">
        <v>7</v>
      </c>
      <c r="B21" s="7">
        <v>10</v>
      </c>
      <c r="C21" s="7" t="s">
        <v>46</v>
      </c>
      <c r="D21" s="7" t="s">
        <v>27</v>
      </c>
      <c r="E21" s="7" t="s">
        <v>20</v>
      </c>
      <c r="F21" s="7" t="s">
        <v>69</v>
      </c>
      <c r="G21" s="16">
        <v>0.24812304424412823</v>
      </c>
      <c r="H21" s="16">
        <v>6.6993221945914625</v>
      </c>
      <c r="I21" s="16">
        <v>27</v>
      </c>
      <c r="J21" s="16" t="e">
        <f t="shared" ca="1" si="0"/>
        <v>#NAME?</v>
      </c>
      <c r="K21" s="8" t="e">
        <f t="shared" ca="1" si="1"/>
        <v>#NAME?</v>
      </c>
      <c r="L21" s="7" t="e">
        <f ca="1">K21&lt;=Rules!$B$5</f>
        <v>#NAME?</v>
      </c>
      <c r="M21" s="12">
        <v>-7439.28</v>
      </c>
      <c r="N21" s="12">
        <v>0</v>
      </c>
      <c r="O21" s="12">
        <v>-7436.1180000000004</v>
      </c>
      <c r="P21" s="12">
        <v>0</v>
      </c>
      <c r="Q21" s="12"/>
      <c r="R21" s="12"/>
      <c r="S21" s="7">
        <v>2</v>
      </c>
      <c r="T21" s="12">
        <v>0</v>
      </c>
      <c r="U21" s="12">
        <v>0</v>
      </c>
      <c r="V21" s="7" t="b">
        <f>T21&lt;=Rules!$B$4</f>
        <v>1</v>
      </c>
      <c r="W21" s="7" t="e">
        <f t="shared" ca="1" si="2"/>
        <v>#NAME?</v>
      </c>
      <c r="X21" s="7">
        <v>2</v>
      </c>
      <c r="Y21" s="14" t="b">
        <v>0</v>
      </c>
      <c r="Z21" s="7" t="s">
        <v>71</v>
      </c>
      <c r="AA21" s="7" t="s">
        <v>72</v>
      </c>
    </row>
    <row r="22" spans="1:27">
      <c r="A22" s="7">
        <v>7</v>
      </c>
      <c r="B22" s="7">
        <v>10</v>
      </c>
      <c r="C22" s="7" t="s">
        <v>41</v>
      </c>
      <c r="D22" s="7" t="s">
        <v>19</v>
      </c>
      <c r="E22" s="7" t="s">
        <v>25</v>
      </c>
      <c r="F22" s="7" t="s">
        <v>70</v>
      </c>
      <c r="G22" s="16">
        <v>0.24812557908265867</v>
      </c>
      <c r="H22" s="16">
        <v>6.6993906352317838</v>
      </c>
      <c r="I22" s="16">
        <v>27</v>
      </c>
      <c r="J22" s="16" t="e">
        <f t="shared" ca="1" si="0"/>
        <v>#NAME?</v>
      </c>
      <c r="K22" s="8" t="e">
        <f t="shared" ca="1" si="1"/>
        <v>#NAME?</v>
      </c>
      <c r="L22" s="7" t="e">
        <f ca="1">K22&lt;=Rules!$B$5</f>
        <v>#NAME?</v>
      </c>
      <c r="M22" s="12"/>
      <c r="N22" s="12"/>
      <c r="O22" s="12"/>
      <c r="P22" s="12"/>
      <c r="Q22" s="12">
        <v>-7458.3680000000004</v>
      </c>
      <c r="R22" s="12">
        <v>0</v>
      </c>
      <c r="S22" s="7">
        <v>1</v>
      </c>
      <c r="T22" s="12">
        <v>0</v>
      </c>
      <c r="U22" s="12">
        <v>0</v>
      </c>
      <c r="V22" s="7" t="b">
        <f>T22&lt;=Rules!$B$4</f>
        <v>1</v>
      </c>
      <c r="W22" s="7" t="e">
        <f t="shared" ca="1" si="2"/>
        <v>#NAME?</v>
      </c>
      <c r="X22" s="7">
        <v>3</v>
      </c>
      <c r="Y22" s="14" t="b">
        <v>0</v>
      </c>
      <c r="Z22" s="7" t="s">
        <v>71</v>
      </c>
      <c r="AA22" s="7" t="s">
        <v>72</v>
      </c>
    </row>
    <row r="23" spans="1:27">
      <c r="A23" s="7">
        <v>7</v>
      </c>
      <c r="B23" s="7">
        <v>10</v>
      </c>
      <c r="C23" s="7" t="s">
        <v>26</v>
      </c>
      <c r="D23" s="7" t="s">
        <v>27</v>
      </c>
      <c r="E23" s="7" t="s">
        <v>25</v>
      </c>
      <c r="F23" s="7" t="s">
        <v>70</v>
      </c>
      <c r="G23" s="16">
        <v>0.24814180026539318</v>
      </c>
      <c r="H23" s="16">
        <v>6.6998286071656157</v>
      </c>
      <c r="I23" s="16">
        <v>27</v>
      </c>
      <c r="J23" s="16" t="e">
        <f t="shared" ca="1" si="0"/>
        <v>#NAME?</v>
      </c>
      <c r="K23" s="8" t="e">
        <f t="shared" ca="1" si="1"/>
        <v>#NAME?</v>
      </c>
      <c r="L23" s="7" t="e">
        <f ca="1">K23&lt;=Rules!$B$5</f>
        <v>#NAME?</v>
      </c>
      <c r="M23" s="12"/>
      <c r="N23" s="12"/>
      <c r="O23" s="12">
        <v>-7435.07</v>
      </c>
      <c r="P23" s="12">
        <v>1.0480000000006839</v>
      </c>
      <c r="Q23" s="12"/>
      <c r="R23" s="12"/>
      <c r="S23" s="7">
        <v>1</v>
      </c>
      <c r="T23" s="12">
        <v>1.0480000000006839</v>
      </c>
      <c r="U23" s="12">
        <v>1.0480000000006839</v>
      </c>
      <c r="V23" s="7" t="b">
        <f>T23&lt;=Rules!$B$4</f>
        <v>1</v>
      </c>
      <c r="W23" s="7" t="e">
        <f t="shared" ca="1" si="2"/>
        <v>#NAME?</v>
      </c>
      <c r="X23" s="7">
        <v>1</v>
      </c>
      <c r="Y23" s="14" t="b">
        <v>1</v>
      </c>
      <c r="Z23" s="7" t="s">
        <v>21</v>
      </c>
      <c r="AA23" s="7" t="s">
        <v>22</v>
      </c>
    </row>
    <row r="24" spans="1:27">
      <c r="A24" s="7">
        <v>8</v>
      </c>
      <c r="B24" s="7">
        <v>10</v>
      </c>
      <c r="C24" s="7" t="s">
        <v>26</v>
      </c>
      <c r="D24" s="7" t="s">
        <v>27</v>
      </c>
      <c r="E24" s="7" t="s">
        <v>25</v>
      </c>
      <c r="F24" s="7" t="s">
        <v>70</v>
      </c>
      <c r="G24" s="16">
        <v>0.1788917702269508</v>
      </c>
      <c r="H24" s="16">
        <v>4.8300777961276715</v>
      </c>
      <c r="I24" s="16">
        <v>27</v>
      </c>
      <c r="J24" s="16" t="e">
        <f t="shared" ca="1" si="0"/>
        <v>#NAME?</v>
      </c>
      <c r="K24" s="8" t="e">
        <f t="shared" ca="1" si="1"/>
        <v>#NAME?</v>
      </c>
      <c r="L24" s="7" t="e">
        <f ca="1">K24&lt;=Rules!$B$5</f>
        <v>#NAME?</v>
      </c>
      <c r="M24" s="12"/>
      <c r="N24" s="12"/>
      <c r="O24" s="12"/>
      <c r="P24" s="12"/>
      <c r="Q24" s="12">
        <v>-6216.7330000000002</v>
      </c>
      <c r="R24" s="12">
        <v>0.50900000000001455</v>
      </c>
      <c r="S24" s="7">
        <v>1</v>
      </c>
      <c r="T24" s="12">
        <v>0.50900000000001455</v>
      </c>
      <c r="U24" s="12">
        <v>0.50900000000001455</v>
      </c>
      <c r="V24" s="7" t="b">
        <f>T24&lt;=Rules!$B$4</f>
        <v>1</v>
      </c>
      <c r="W24" s="7" t="e">
        <f t="shared" ca="1" si="2"/>
        <v>#NAME?</v>
      </c>
      <c r="X24" s="7">
        <v>1</v>
      </c>
      <c r="Y24" s="14" t="b">
        <v>1</v>
      </c>
      <c r="Z24" s="7" t="s">
        <v>21</v>
      </c>
      <c r="AA24" s="7" t="s">
        <v>22</v>
      </c>
    </row>
    <row r="25" spans="1:27">
      <c r="A25" s="7">
        <v>8</v>
      </c>
      <c r="B25" s="7">
        <v>10</v>
      </c>
      <c r="C25" s="7" t="s">
        <v>23</v>
      </c>
      <c r="D25" s="7" t="s">
        <v>24</v>
      </c>
      <c r="E25" s="7" t="s">
        <v>25</v>
      </c>
      <c r="F25" s="7" t="s">
        <v>70</v>
      </c>
      <c r="G25" s="16">
        <v>0.17892216117521262</v>
      </c>
      <c r="H25" s="16">
        <v>4.8308983517307409</v>
      </c>
      <c r="I25" s="16">
        <v>27</v>
      </c>
      <c r="J25" s="16" t="e">
        <f t="shared" ca="1" si="0"/>
        <v>#NAME?</v>
      </c>
      <c r="K25" s="8" t="e">
        <f t="shared" ca="1" si="1"/>
        <v>#NAME?</v>
      </c>
      <c r="L25" s="7" t="e">
        <f ca="1">K25&lt;=Rules!$B$5</f>
        <v>#NAME?</v>
      </c>
      <c r="M25" s="12">
        <v>-6206.3540000000003</v>
      </c>
      <c r="N25" s="12">
        <v>0</v>
      </c>
      <c r="O25" s="12">
        <v>-6205.3410000000003</v>
      </c>
      <c r="P25" s="12">
        <v>1.2129999999997381</v>
      </c>
      <c r="Q25" s="12"/>
      <c r="R25" s="12"/>
      <c r="S25" s="7">
        <v>2</v>
      </c>
      <c r="T25" s="12">
        <v>0.60649999999986903</v>
      </c>
      <c r="U25" s="12">
        <v>1.2129999999997381</v>
      </c>
      <c r="V25" s="7" t="b">
        <f>T25&lt;=Rules!$B$4</f>
        <v>1</v>
      </c>
      <c r="W25" s="7" t="e">
        <f t="shared" ca="1" si="2"/>
        <v>#NAME?</v>
      </c>
      <c r="X25" s="7">
        <v>2</v>
      </c>
      <c r="Y25" s="14" t="b">
        <v>0</v>
      </c>
      <c r="Z25" s="7" t="s">
        <v>71</v>
      </c>
      <c r="AA25" s="7" t="s">
        <v>72</v>
      </c>
    </row>
    <row r="26" spans="1:27">
      <c r="A26" s="7">
        <v>8</v>
      </c>
      <c r="B26" s="7">
        <v>10</v>
      </c>
      <c r="C26" s="7" t="s">
        <v>82</v>
      </c>
      <c r="D26" s="7" t="s">
        <v>27</v>
      </c>
      <c r="E26" s="7" t="s">
        <v>35</v>
      </c>
      <c r="F26" s="7" t="s">
        <v>69</v>
      </c>
      <c r="G26" s="16">
        <v>0.17926772876915958</v>
      </c>
      <c r="H26" s="16">
        <v>4.8402286767673086</v>
      </c>
      <c r="I26" s="16">
        <v>27</v>
      </c>
      <c r="J26" s="16" t="e">
        <f t="shared" ca="1" si="0"/>
        <v>#NAME?</v>
      </c>
      <c r="K26" s="8" t="e">
        <f t="shared" ca="1" si="1"/>
        <v>#NAME?</v>
      </c>
      <c r="L26" s="7" t="e">
        <f ca="1">K26&lt;=Rules!$B$5</f>
        <v>#NAME?</v>
      </c>
      <c r="M26" s="12"/>
      <c r="N26" s="12"/>
      <c r="O26" s="12"/>
      <c r="P26" s="12"/>
      <c r="Q26" s="12">
        <v>-6217.2420000000002</v>
      </c>
      <c r="R26" s="12">
        <v>0</v>
      </c>
      <c r="S26" s="7">
        <v>1</v>
      </c>
      <c r="T26" s="12">
        <v>0</v>
      </c>
      <c r="U26" s="12">
        <v>0</v>
      </c>
      <c r="V26" s="7" t="b">
        <f>T26&lt;=Rules!$B$4</f>
        <v>1</v>
      </c>
      <c r="W26" s="7" t="e">
        <f t="shared" ca="1" si="2"/>
        <v>#NAME?</v>
      </c>
      <c r="X26" s="7">
        <v>2</v>
      </c>
      <c r="Y26" s="14" t="b">
        <v>0</v>
      </c>
      <c r="Z26" s="7" t="s">
        <v>71</v>
      </c>
      <c r="AA26" s="7" t="s">
        <v>72</v>
      </c>
    </row>
    <row r="27" spans="1:27">
      <c r="A27" s="7">
        <v>8</v>
      </c>
      <c r="B27" s="7">
        <v>10</v>
      </c>
      <c r="C27" s="7" t="s">
        <v>83</v>
      </c>
      <c r="D27" s="7" t="s">
        <v>39</v>
      </c>
      <c r="E27" s="7" t="s">
        <v>25</v>
      </c>
      <c r="F27" s="7" t="s">
        <v>70</v>
      </c>
      <c r="G27" s="16">
        <v>0.17960774078374817</v>
      </c>
      <c r="H27" s="16">
        <v>4.8494090011612005</v>
      </c>
      <c r="I27" s="16">
        <v>27</v>
      </c>
      <c r="J27" s="16" t="e">
        <f t="shared" ca="1" si="0"/>
        <v>#NAME?</v>
      </c>
      <c r="K27" s="8" t="e">
        <f t="shared" ca="1" si="1"/>
        <v>#NAME?</v>
      </c>
      <c r="L27" s="7" t="e">
        <f ca="1">K27&lt;=Rules!$B$5</f>
        <v>#NAME?</v>
      </c>
      <c r="M27" s="12"/>
      <c r="N27" s="12"/>
      <c r="O27" s="12">
        <v>-6206.5540000000001</v>
      </c>
      <c r="P27" s="12">
        <v>0</v>
      </c>
      <c r="Q27" s="12"/>
      <c r="R27" s="12"/>
      <c r="S27" s="7">
        <v>1</v>
      </c>
      <c r="T27" s="12">
        <v>0</v>
      </c>
      <c r="U27" s="12">
        <v>0</v>
      </c>
      <c r="V27" s="7" t="b">
        <f>T27&lt;=Rules!$B$4</f>
        <v>1</v>
      </c>
      <c r="W27" s="7" t="e">
        <f t="shared" ca="1" si="2"/>
        <v>#NAME?</v>
      </c>
      <c r="X27" s="7">
        <v>4</v>
      </c>
      <c r="Y27" s="14" t="b">
        <v>0</v>
      </c>
      <c r="Z27" s="7" t="s">
        <v>71</v>
      </c>
      <c r="AA27" s="7" t="s">
        <v>72</v>
      </c>
    </row>
    <row r="28" spans="1:27">
      <c r="A28" s="7">
        <v>9</v>
      </c>
      <c r="B28" s="7">
        <v>10</v>
      </c>
      <c r="C28" s="7" t="s">
        <v>30</v>
      </c>
      <c r="D28" s="7" t="s">
        <v>31</v>
      </c>
      <c r="E28" s="7" t="s">
        <v>25</v>
      </c>
      <c r="F28" s="7" t="s">
        <v>70</v>
      </c>
      <c r="G28" s="16">
        <v>0.17985228935581818</v>
      </c>
      <c r="H28" s="16">
        <v>4.8560118126070906</v>
      </c>
      <c r="I28" s="16">
        <v>27</v>
      </c>
      <c r="J28" s="16" t="e">
        <f t="shared" ca="1" si="0"/>
        <v>#NAME?</v>
      </c>
      <c r="K28" s="8" t="e">
        <f t="shared" ca="1" si="1"/>
        <v>#NAME?</v>
      </c>
      <c r="L28" s="7" t="e">
        <f ca="1">K28&lt;=Rules!$B$5</f>
        <v>#NAME?</v>
      </c>
      <c r="M28" s="12"/>
      <c r="N28" s="12"/>
      <c r="O28" s="12">
        <v>-5828.8249999999998</v>
      </c>
      <c r="P28" s="12">
        <v>0</v>
      </c>
      <c r="Q28" s="12"/>
      <c r="R28" s="12"/>
      <c r="S28" s="7">
        <v>1</v>
      </c>
      <c r="T28" s="12">
        <v>0</v>
      </c>
      <c r="U28" s="12">
        <v>0</v>
      </c>
      <c r="V28" s="7" t="b">
        <f>T28&lt;=Rules!$B$4</f>
        <v>1</v>
      </c>
      <c r="W28" s="7" t="e">
        <f t="shared" ca="1" si="2"/>
        <v>#NAME?</v>
      </c>
      <c r="X28" s="7">
        <v>3</v>
      </c>
      <c r="Y28" s="14" t="b">
        <v>1</v>
      </c>
      <c r="Z28" s="7" t="s">
        <v>21</v>
      </c>
      <c r="AA28" s="7" t="s">
        <v>22</v>
      </c>
    </row>
    <row r="29" spans="1:27">
      <c r="A29" s="7">
        <v>9</v>
      </c>
      <c r="B29" s="7">
        <v>10</v>
      </c>
      <c r="C29" s="7" t="s">
        <v>84</v>
      </c>
      <c r="D29" s="7" t="s">
        <v>85</v>
      </c>
      <c r="E29" s="7" t="s">
        <v>25</v>
      </c>
      <c r="F29" s="7" t="s">
        <v>70</v>
      </c>
      <c r="G29" s="16">
        <v>0.17995654384266629</v>
      </c>
      <c r="H29" s="16">
        <v>4.8588266837519898</v>
      </c>
      <c r="I29" s="16">
        <v>27</v>
      </c>
      <c r="J29" s="16" t="e">
        <f t="shared" ca="1" si="0"/>
        <v>#NAME?</v>
      </c>
      <c r="K29" s="8" t="e">
        <f t="shared" ca="1" si="1"/>
        <v>#NAME?</v>
      </c>
      <c r="L29" s="7" t="e">
        <f ca="1">K29&lt;=Rules!$B$5</f>
        <v>#NAME?</v>
      </c>
      <c r="M29" s="12">
        <v>-5830.9520000000002</v>
      </c>
      <c r="N29" s="12">
        <v>0</v>
      </c>
      <c r="O29" s="12"/>
      <c r="P29" s="12"/>
      <c r="Q29" s="12"/>
      <c r="R29" s="12"/>
      <c r="S29" s="7">
        <v>1</v>
      </c>
      <c r="T29" s="12">
        <v>0</v>
      </c>
      <c r="U29" s="12">
        <v>0</v>
      </c>
      <c r="V29" s="7" t="b">
        <f>T29&lt;=Rules!$B$4</f>
        <v>1</v>
      </c>
      <c r="W29" s="7" t="e">
        <f t="shared" ca="1" si="2"/>
        <v>#NAME?</v>
      </c>
      <c r="X29" s="7">
        <v>4</v>
      </c>
      <c r="Y29" s="14" t="b">
        <v>0</v>
      </c>
      <c r="Z29" s="7" t="s">
        <v>71</v>
      </c>
      <c r="AA29" s="7" t="s">
        <v>72</v>
      </c>
    </row>
    <row r="30" spans="1:27">
      <c r="A30" s="7">
        <v>9</v>
      </c>
      <c r="B30" s="7">
        <v>10</v>
      </c>
      <c r="C30" s="7" t="s">
        <v>47</v>
      </c>
      <c r="D30" s="7" t="s">
        <v>48</v>
      </c>
      <c r="E30" s="7" t="s">
        <v>25</v>
      </c>
      <c r="F30" s="7" t="s">
        <v>70</v>
      </c>
      <c r="G30" s="16">
        <v>0.18006531745201038</v>
      </c>
      <c r="H30" s="16">
        <v>4.8617635712042802</v>
      </c>
      <c r="I30" s="16">
        <v>27</v>
      </c>
      <c r="J30" s="16" t="e">
        <f t="shared" ca="1" si="0"/>
        <v>#NAME?</v>
      </c>
      <c r="K30" s="8" t="e">
        <f t="shared" ca="1" si="1"/>
        <v>#NAME?</v>
      </c>
      <c r="L30" s="7" t="e">
        <f ca="1">K30&lt;=Rules!$B$5</f>
        <v>#NAME?</v>
      </c>
      <c r="M30" s="12"/>
      <c r="N30" s="12"/>
      <c r="O30" s="12"/>
      <c r="P30" s="12"/>
      <c r="Q30" s="12">
        <v>-5834.7139999999999</v>
      </c>
      <c r="R30" s="12">
        <v>0</v>
      </c>
      <c r="S30" s="7">
        <v>1</v>
      </c>
      <c r="T30" s="12">
        <v>0</v>
      </c>
      <c r="U30" s="12">
        <v>0</v>
      </c>
      <c r="V30" s="7" t="b">
        <f>T30&lt;=Rules!$B$4</f>
        <v>1</v>
      </c>
      <c r="W30" s="7" t="e">
        <f t="shared" ca="1" si="2"/>
        <v>#NAME?</v>
      </c>
      <c r="X30" s="7">
        <v>3</v>
      </c>
      <c r="Y30" s="14" t="b">
        <v>0</v>
      </c>
      <c r="Z30" s="7" t="s">
        <v>71</v>
      </c>
      <c r="AA30" s="7" t="s">
        <v>72</v>
      </c>
    </row>
    <row r="31" spans="1:27">
      <c r="A31" s="7">
        <v>9</v>
      </c>
      <c r="B31" s="7">
        <v>10</v>
      </c>
      <c r="C31" s="7" t="s">
        <v>26</v>
      </c>
      <c r="D31" s="7" t="s">
        <v>27</v>
      </c>
      <c r="E31" s="7" t="s">
        <v>25</v>
      </c>
      <c r="F31" s="7" t="s">
        <v>70</v>
      </c>
      <c r="G31" s="16">
        <v>0.1804563763589723</v>
      </c>
      <c r="H31" s="16">
        <v>4.8723221616922521</v>
      </c>
      <c r="I31" s="16">
        <v>27</v>
      </c>
      <c r="J31" s="16" t="e">
        <f t="shared" ca="1" si="0"/>
        <v>#NAME?</v>
      </c>
      <c r="K31" s="8" t="e">
        <f t="shared" ca="1" si="1"/>
        <v>#NAME?</v>
      </c>
      <c r="L31" s="7" t="e">
        <f ca="1">K31&lt;=Rules!$B$5</f>
        <v>#NAME?</v>
      </c>
      <c r="M31" s="12"/>
      <c r="N31" s="12"/>
      <c r="O31" s="12">
        <v>-5821.4449999999997</v>
      </c>
      <c r="P31" s="12">
        <v>7.3800000000001091</v>
      </c>
      <c r="Q31" s="12"/>
      <c r="R31" s="12"/>
      <c r="S31" s="7">
        <v>1</v>
      </c>
      <c r="T31" s="12">
        <v>7.3800000000001091</v>
      </c>
      <c r="U31" s="12">
        <v>7.3800000000001091</v>
      </c>
      <c r="V31" s="7" t="b">
        <f>T31&lt;=Rules!$B$4</f>
        <v>0</v>
      </c>
      <c r="W31" s="7" t="e">
        <f t="shared" ca="1" si="2"/>
        <v>#NAME?</v>
      </c>
      <c r="X31" s="7">
        <v>1</v>
      </c>
      <c r="Y31" s="14" t="b">
        <v>0</v>
      </c>
      <c r="Z31" s="7" t="s">
        <v>71</v>
      </c>
      <c r="AA31" s="7" t="s">
        <v>72</v>
      </c>
    </row>
    <row r="32" spans="1:27">
      <c r="A32" s="7">
        <v>10</v>
      </c>
      <c r="B32" s="7">
        <v>10</v>
      </c>
      <c r="C32" s="7" t="s">
        <v>32</v>
      </c>
      <c r="D32" s="7" t="s">
        <v>33</v>
      </c>
      <c r="E32" s="7" t="s">
        <v>25</v>
      </c>
      <c r="F32" s="7" t="s">
        <v>70</v>
      </c>
      <c r="G32" s="16">
        <v>0.11002942704314468</v>
      </c>
      <c r="H32" s="16">
        <v>2.9707945301649064</v>
      </c>
      <c r="I32" s="16">
        <v>27</v>
      </c>
      <c r="J32" s="16" t="e">
        <f t="shared" ca="1" si="0"/>
        <v>#NAME?</v>
      </c>
      <c r="K32" s="8" t="e">
        <f t="shared" ca="1" si="1"/>
        <v>#NAME?</v>
      </c>
      <c r="L32" s="7" t="e">
        <f ca="1">K32&lt;=Rules!$B$5</f>
        <v>#NAME?</v>
      </c>
      <c r="M32" s="12">
        <v>-4245.5609999999997</v>
      </c>
      <c r="N32" s="12">
        <v>0</v>
      </c>
      <c r="O32" s="12">
        <v>-4241.2579999999998</v>
      </c>
      <c r="P32" s="12">
        <v>0.12899999999990541</v>
      </c>
      <c r="Q32" s="12">
        <v>-4258.7700000000004</v>
      </c>
      <c r="R32" s="12">
        <v>0</v>
      </c>
      <c r="S32" s="7">
        <v>3</v>
      </c>
      <c r="T32" s="12">
        <v>0</v>
      </c>
      <c r="U32" s="12">
        <v>0.12899999999990541</v>
      </c>
      <c r="V32" s="7" t="b">
        <f>T32&lt;=Rules!$B$4</f>
        <v>1</v>
      </c>
      <c r="W32" s="7" t="e">
        <f t="shared" ca="1" si="2"/>
        <v>#NAME?</v>
      </c>
      <c r="X32" s="7">
        <v>2</v>
      </c>
      <c r="Y32" s="14" t="b">
        <v>1</v>
      </c>
      <c r="Z32" s="7" t="s">
        <v>21</v>
      </c>
      <c r="AA32" s="7" t="s">
        <v>22</v>
      </c>
    </row>
    <row r="33" spans="1:27">
      <c r="A33" s="7">
        <v>10</v>
      </c>
      <c r="B33" s="7">
        <v>10</v>
      </c>
      <c r="C33" s="7" t="s">
        <v>49</v>
      </c>
      <c r="D33" s="7" t="s">
        <v>33</v>
      </c>
      <c r="E33" s="7" t="s">
        <v>40</v>
      </c>
      <c r="F33" s="7" t="s">
        <v>69</v>
      </c>
      <c r="G33" s="16">
        <v>0.11016819274413309</v>
      </c>
      <c r="H33" s="16">
        <v>2.9745412040915933</v>
      </c>
      <c r="I33" s="16">
        <v>27</v>
      </c>
      <c r="J33" s="16" t="e">
        <f t="shared" ca="1" si="0"/>
        <v>#NAME?</v>
      </c>
      <c r="K33" s="8" t="e">
        <f t="shared" ca="1" si="1"/>
        <v>#NAME?</v>
      </c>
      <c r="L33" s="7" t="e">
        <f ca="1">K33&lt;=Rules!$B$5</f>
        <v>#NAME?</v>
      </c>
      <c r="M33" s="12"/>
      <c r="N33" s="12"/>
      <c r="O33" s="12">
        <v>-4241.3869999999997</v>
      </c>
      <c r="P33" s="12">
        <v>0</v>
      </c>
      <c r="Q33" s="12"/>
      <c r="R33" s="12"/>
      <c r="S33" s="7">
        <v>1</v>
      </c>
      <c r="T33" s="12">
        <v>0</v>
      </c>
      <c r="U33" s="12">
        <v>0</v>
      </c>
      <c r="V33" s="7" t="b">
        <f>T33&lt;=Rules!$B$4</f>
        <v>1</v>
      </c>
      <c r="W33" s="7" t="e">
        <f t="shared" ca="1" si="2"/>
        <v>#NAME?</v>
      </c>
      <c r="X33" s="7">
        <v>4</v>
      </c>
      <c r="Y33" s="14" t="b">
        <v>0</v>
      </c>
      <c r="Z33" s="7" t="s">
        <v>71</v>
      </c>
      <c r="AA33" s="7" t="s">
        <v>72</v>
      </c>
    </row>
    <row r="34" spans="1:27">
      <c r="A34" s="7">
        <v>11</v>
      </c>
      <c r="B34" s="7">
        <v>10</v>
      </c>
      <c r="C34" s="7" t="s">
        <v>34</v>
      </c>
      <c r="D34" s="7" t="s">
        <v>19</v>
      </c>
      <c r="E34" s="7" t="s">
        <v>35</v>
      </c>
      <c r="F34" s="7" t="s">
        <v>69</v>
      </c>
      <c r="G34" s="16">
        <v>0.40762160993020236</v>
      </c>
      <c r="H34" s="16">
        <v>11.005783468115464</v>
      </c>
      <c r="I34" s="16">
        <v>27</v>
      </c>
      <c r="J34" s="16" t="e">
        <f t="shared" ca="1" si="0"/>
        <v>#NAME?</v>
      </c>
      <c r="K34" s="8" t="e">
        <f t="shared" ca="1" si="1"/>
        <v>#NAME?</v>
      </c>
      <c r="L34" s="7" t="e">
        <f ca="1">K34&lt;=Rules!$B$5</f>
        <v>#NAME?</v>
      </c>
      <c r="M34" s="12">
        <v>-4972.1289999999999</v>
      </c>
      <c r="N34" s="12">
        <v>0</v>
      </c>
      <c r="O34" s="12"/>
      <c r="P34" s="12"/>
      <c r="Q34" s="12"/>
      <c r="R34" s="12"/>
      <c r="S34" s="7">
        <v>1</v>
      </c>
      <c r="T34" s="12">
        <v>0</v>
      </c>
      <c r="U34" s="12">
        <v>0</v>
      </c>
      <c r="V34" s="7" t="b">
        <f>T34&lt;=Rules!$B$4</f>
        <v>1</v>
      </c>
      <c r="W34" s="7" t="e">
        <f t="shared" ca="1" si="2"/>
        <v>#NAME?</v>
      </c>
      <c r="X34" s="7">
        <v>4</v>
      </c>
      <c r="Y34" s="14" t="b">
        <v>1</v>
      </c>
      <c r="Z34" s="7" t="s">
        <v>21</v>
      </c>
      <c r="AA34" s="7" t="s">
        <v>22</v>
      </c>
    </row>
    <row r="35" spans="1:27">
      <c r="A35" s="7">
        <v>11</v>
      </c>
      <c r="B35" s="7">
        <v>10</v>
      </c>
      <c r="C35" s="7" t="s">
        <v>86</v>
      </c>
      <c r="D35" s="7" t="s">
        <v>24</v>
      </c>
      <c r="E35" s="7" t="s">
        <v>35</v>
      </c>
      <c r="F35" s="7" t="s">
        <v>69</v>
      </c>
      <c r="G35" s="16">
        <v>0.41291549657545168</v>
      </c>
      <c r="H35" s="16">
        <v>11.148718407537196</v>
      </c>
      <c r="I35" s="16">
        <v>27</v>
      </c>
      <c r="J35" s="16" t="e">
        <f t="shared" ca="1" si="0"/>
        <v>#NAME?</v>
      </c>
      <c r="K35" s="8" t="e">
        <f t="shared" ca="1" si="1"/>
        <v>#NAME?</v>
      </c>
      <c r="L35" s="7" t="e">
        <f ca="1">K35&lt;=Rules!$B$5</f>
        <v>#NAME?</v>
      </c>
      <c r="M35" s="12"/>
      <c r="N35" s="12"/>
      <c r="O35" s="12"/>
      <c r="P35" s="12"/>
      <c r="Q35" s="12">
        <v>-4971.1440000000002</v>
      </c>
      <c r="R35" s="12">
        <v>0</v>
      </c>
      <c r="S35" s="7">
        <v>1</v>
      </c>
      <c r="T35" s="12">
        <v>0</v>
      </c>
      <c r="U35" s="12">
        <v>0</v>
      </c>
      <c r="V35" s="7" t="b">
        <f>T35&lt;=Rules!$B$4</f>
        <v>1</v>
      </c>
      <c r="W35" s="7" t="e">
        <f t="shared" ca="1" si="2"/>
        <v>#NAME?</v>
      </c>
      <c r="X35" s="7">
        <v>3</v>
      </c>
      <c r="Y35" s="14" t="b">
        <v>0</v>
      </c>
      <c r="Z35" s="7" t="s">
        <v>71</v>
      </c>
      <c r="AA35" s="7" t="s">
        <v>72</v>
      </c>
    </row>
    <row r="36" spans="1:27">
      <c r="A36" s="7">
        <v>11</v>
      </c>
      <c r="B36" s="7">
        <v>10</v>
      </c>
      <c r="C36" s="7" t="s">
        <v>23</v>
      </c>
      <c r="D36" s="7" t="s">
        <v>24</v>
      </c>
      <c r="E36" s="7" t="s">
        <v>25</v>
      </c>
      <c r="F36" s="7" t="s">
        <v>70</v>
      </c>
      <c r="G36" s="16">
        <v>0.41400676288053945</v>
      </c>
      <c r="H36" s="16">
        <v>11.178182597774565</v>
      </c>
      <c r="I36" s="16">
        <v>27</v>
      </c>
      <c r="J36" s="16" t="e">
        <f t="shared" ca="1" si="0"/>
        <v>#NAME?</v>
      </c>
      <c r="K36" s="8" t="e">
        <f t="shared" ca="1" si="1"/>
        <v>#NAME?</v>
      </c>
      <c r="L36" s="7" t="e">
        <f ca="1">K36&lt;=Rules!$B$5</f>
        <v>#NAME?</v>
      </c>
      <c r="M36" s="12">
        <v>-4965.8649999999998</v>
      </c>
      <c r="N36" s="12">
        <v>6.2640000000001237</v>
      </c>
      <c r="O36" s="12">
        <v>-4964.0249999999996</v>
      </c>
      <c r="P36" s="12">
        <v>6.1220000000002983</v>
      </c>
      <c r="Q36" s="12">
        <v>-4968.1850000000004</v>
      </c>
      <c r="R36" s="12">
        <v>2.9589999999998327</v>
      </c>
      <c r="S36" s="7">
        <v>3</v>
      </c>
      <c r="T36" s="12">
        <v>6.1220000000002983</v>
      </c>
      <c r="U36" s="12">
        <v>6.2640000000001237</v>
      </c>
      <c r="V36" s="7" t="b">
        <f>T36&lt;=Rules!$B$4</f>
        <v>0</v>
      </c>
      <c r="W36" s="7" t="e">
        <f t="shared" ca="1" si="2"/>
        <v>#NAME?</v>
      </c>
      <c r="X36" s="7">
        <v>2</v>
      </c>
      <c r="Y36" s="14" t="b">
        <v>0</v>
      </c>
      <c r="Z36" s="7" t="s">
        <v>71</v>
      </c>
      <c r="AA36" s="7" t="s">
        <v>72</v>
      </c>
    </row>
    <row r="37" spans="1:27">
      <c r="A37" s="7">
        <v>11</v>
      </c>
      <c r="B37" s="7">
        <v>10</v>
      </c>
      <c r="C37" s="7" t="s">
        <v>18</v>
      </c>
      <c r="D37" s="7" t="s">
        <v>19</v>
      </c>
      <c r="E37" s="7" t="s">
        <v>20</v>
      </c>
      <c r="F37" s="7" t="s">
        <v>69</v>
      </c>
      <c r="G37" s="16">
        <v>0.42992035481628921</v>
      </c>
      <c r="H37" s="16">
        <v>11.607849580039808</v>
      </c>
      <c r="I37" s="16">
        <v>27</v>
      </c>
      <c r="J37" s="16" t="e">
        <f t="shared" ref="J37:J68" ca="1" si="3">_xludf.MINIFS($G$5:$G$168,$A$5:$A$168,A37,$B$5:$B$168,B37)</f>
        <v>#NAME?</v>
      </c>
      <c r="K37" s="8" t="e">
        <f t="shared" ref="K37:K68" ca="1" si="4">IF(J37=0,0,(G37-J37)/J37)</f>
        <v>#NAME?</v>
      </c>
      <c r="L37" s="7" t="e">
        <f ca="1">K37&lt;=Rules!$B$5</f>
        <v>#NAME?</v>
      </c>
      <c r="M37" s="12"/>
      <c r="N37" s="12"/>
      <c r="O37" s="12">
        <v>-4970.1469999999999</v>
      </c>
      <c r="P37" s="12">
        <v>0</v>
      </c>
      <c r="Q37" s="12"/>
      <c r="R37" s="12"/>
      <c r="S37" s="7">
        <v>1</v>
      </c>
      <c r="T37" s="12">
        <v>0</v>
      </c>
      <c r="U37" s="12">
        <v>0</v>
      </c>
      <c r="V37" s="7" t="b">
        <f>T37&lt;=Rules!$B$4</f>
        <v>1</v>
      </c>
      <c r="W37" s="7" t="e">
        <f t="shared" ref="W37:W68" ca="1" si="5">AND(L37,V37)</f>
        <v>#NAME?</v>
      </c>
      <c r="X37" s="7">
        <v>4</v>
      </c>
      <c r="Y37" s="14" t="b">
        <v>0</v>
      </c>
      <c r="Z37" s="7" t="s">
        <v>71</v>
      </c>
      <c r="AA37" s="7" t="s">
        <v>72</v>
      </c>
    </row>
    <row r="38" spans="1:27">
      <c r="A38" s="7">
        <v>12</v>
      </c>
      <c r="B38" s="7">
        <v>10</v>
      </c>
      <c r="C38" s="7" t="s">
        <v>36</v>
      </c>
      <c r="D38" s="7" t="s">
        <v>37</v>
      </c>
      <c r="E38" s="7" t="s">
        <v>25</v>
      </c>
      <c r="F38" s="7" t="s">
        <v>70</v>
      </c>
      <c r="G38" s="16">
        <v>1.078337675912127</v>
      </c>
      <c r="H38" s="16">
        <v>29.115117249627428</v>
      </c>
      <c r="I38" s="16">
        <v>27</v>
      </c>
      <c r="J38" s="16" t="e">
        <f t="shared" ca="1" si="3"/>
        <v>#NAME?</v>
      </c>
      <c r="K38" s="8" t="e">
        <f t="shared" ca="1" si="4"/>
        <v>#NAME?</v>
      </c>
      <c r="L38" s="7" t="e">
        <f ca="1">K38&lt;=Rules!$B$5</f>
        <v>#NAME?</v>
      </c>
      <c r="M38" s="12">
        <v>-7089.26</v>
      </c>
      <c r="N38" s="12">
        <v>0</v>
      </c>
      <c r="O38" s="12">
        <v>-7082.1210000000001</v>
      </c>
      <c r="P38" s="12">
        <v>0</v>
      </c>
      <c r="Q38" s="12">
        <v>-7113.1620000000003</v>
      </c>
      <c r="R38" s="12">
        <v>6.4929999999994834</v>
      </c>
      <c r="S38" s="7">
        <v>3</v>
      </c>
      <c r="T38" s="12">
        <v>0</v>
      </c>
      <c r="U38" s="12">
        <v>6.4929999999994834</v>
      </c>
      <c r="V38" s="7" t="b">
        <f>T38&lt;=Rules!$B$4</f>
        <v>1</v>
      </c>
      <c r="W38" s="7" t="e">
        <f t="shared" ca="1" si="5"/>
        <v>#NAME?</v>
      </c>
      <c r="X38" s="7">
        <v>5</v>
      </c>
      <c r="Y38" s="14" t="b">
        <v>1</v>
      </c>
      <c r="Z38" s="7" t="s">
        <v>21</v>
      </c>
      <c r="AA38" s="7" t="s">
        <v>22</v>
      </c>
    </row>
    <row r="39" spans="1:27">
      <c r="A39" s="7">
        <v>12</v>
      </c>
      <c r="B39" s="7">
        <v>10</v>
      </c>
      <c r="C39" s="7" t="s">
        <v>50</v>
      </c>
      <c r="D39" s="7" t="s">
        <v>51</v>
      </c>
      <c r="E39" s="7" t="s">
        <v>25</v>
      </c>
      <c r="F39" s="7" t="s">
        <v>70</v>
      </c>
      <c r="G39" s="16">
        <v>1.0953151978342746</v>
      </c>
      <c r="H39" s="16">
        <v>29.573510341525413</v>
      </c>
      <c r="I39" s="16">
        <v>27</v>
      </c>
      <c r="J39" s="16" t="e">
        <f t="shared" ca="1" si="3"/>
        <v>#NAME?</v>
      </c>
      <c r="K39" s="8" t="e">
        <f t="shared" ca="1" si="4"/>
        <v>#NAME?</v>
      </c>
      <c r="L39" s="7" t="e">
        <f ca="1">K39&lt;=Rules!$B$5</f>
        <v>#NAME?</v>
      </c>
      <c r="M39" s="12">
        <v>-7087.9930000000004</v>
      </c>
      <c r="N39" s="12">
        <v>1.2669999999998254</v>
      </c>
      <c r="O39" s="12">
        <v>-7081.2740000000003</v>
      </c>
      <c r="P39" s="12">
        <v>0.84699999999975262</v>
      </c>
      <c r="Q39" s="12"/>
      <c r="R39" s="12"/>
      <c r="S39" s="7">
        <v>2</v>
      </c>
      <c r="T39" s="12">
        <v>1.056999999999789</v>
      </c>
      <c r="U39" s="12">
        <v>1.2669999999998254</v>
      </c>
      <c r="V39" s="7" t="b">
        <f>T39&lt;=Rules!$B$4</f>
        <v>1</v>
      </c>
      <c r="W39" s="7" t="e">
        <f t="shared" ca="1" si="5"/>
        <v>#NAME?</v>
      </c>
      <c r="X39" s="7">
        <v>4</v>
      </c>
      <c r="Y39" s="14" t="b">
        <v>0</v>
      </c>
      <c r="Z39" s="7" t="s">
        <v>71</v>
      </c>
      <c r="AA39" s="7" t="s">
        <v>72</v>
      </c>
    </row>
    <row r="40" spans="1:27">
      <c r="A40" s="7">
        <v>12</v>
      </c>
      <c r="B40" s="7">
        <v>10</v>
      </c>
      <c r="C40" s="7" t="s">
        <v>44</v>
      </c>
      <c r="D40" s="7" t="s">
        <v>45</v>
      </c>
      <c r="E40" s="7" t="s">
        <v>25</v>
      </c>
      <c r="F40" s="7" t="s">
        <v>70</v>
      </c>
      <c r="G40" s="16">
        <v>1.1844397929467065</v>
      </c>
      <c r="H40" s="16">
        <v>31.979874409561074</v>
      </c>
      <c r="I40" s="16">
        <v>27</v>
      </c>
      <c r="J40" s="16" t="e">
        <f t="shared" ca="1" si="3"/>
        <v>#NAME?</v>
      </c>
      <c r="K40" s="8" t="e">
        <f t="shared" ca="1" si="4"/>
        <v>#NAME?</v>
      </c>
      <c r="L40" s="7" t="e">
        <f ca="1">K40&lt;=Rules!$B$5</f>
        <v>#NAME?</v>
      </c>
      <c r="M40" s="12"/>
      <c r="N40" s="12"/>
      <c r="O40" s="12"/>
      <c r="P40" s="12"/>
      <c r="Q40" s="12">
        <v>-7119.6549999999997</v>
      </c>
      <c r="R40" s="12">
        <v>0</v>
      </c>
      <c r="S40" s="7">
        <v>1</v>
      </c>
      <c r="T40" s="12">
        <v>0</v>
      </c>
      <c r="U40" s="12">
        <v>0</v>
      </c>
      <c r="V40" s="7" t="b">
        <f>T40&lt;=Rules!$B$4</f>
        <v>1</v>
      </c>
      <c r="W40" s="7" t="e">
        <f t="shared" ca="1" si="5"/>
        <v>#NAME?</v>
      </c>
      <c r="X40" s="7">
        <v>3</v>
      </c>
      <c r="Y40" s="14" t="b">
        <v>0</v>
      </c>
      <c r="Z40" s="7" t="s">
        <v>71</v>
      </c>
      <c r="AA40" s="7" t="s">
        <v>72</v>
      </c>
    </row>
    <row r="41" spans="1:27">
      <c r="A41" s="7">
        <v>13</v>
      </c>
      <c r="B41" s="7">
        <v>10</v>
      </c>
      <c r="C41" s="7" t="s">
        <v>87</v>
      </c>
      <c r="D41" s="7" t="s">
        <v>88</v>
      </c>
      <c r="E41" s="7" t="s">
        <v>89</v>
      </c>
      <c r="F41" s="7" t="s">
        <v>69</v>
      </c>
      <c r="G41" s="16">
        <v>1.830048542237124</v>
      </c>
      <c r="H41" s="16">
        <v>49.411310640402348</v>
      </c>
      <c r="I41" s="16">
        <v>27</v>
      </c>
      <c r="J41" s="16" t="e">
        <f t="shared" ca="1" si="3"/>
        <v>#NAME?</v>
      </c>
      <c r="K41" s="8" t="e">
        <f t="shared" ca="1" si="4"/>
        <v>#NAME?</v>
      </c>
      <c r="L41" s="7" t="e">
        <f ca="1">K41&lt;=Rules!$B$5</f>
        <v>#NAME?</v>
      </c>
      <c r="M41" s="12">
        <v>-2477.2660000000001</v>
      </c>
      <c r="N41" s="12">
        <v>0</v>
      </c>
      <c r="O41" s="12"/>
      <c r="P41" s="12"/>
      <c r="Q41" s="12"/>
      <c r="R41" s="12"/>
      <c r="S41" s="7">
        <v>1</v>
      </c>
      <c r="T41" s="12">
        <v>0</v>
      </c>
      <c r="U41" s="12">
        <v>0</v>
      </c>
      <c r="V41" s="7" t="b">
        <f>T41&lt;=Rules!$B$4</f>
        <v>1</v>
      </c>
      <c r="W41" s="7" t="e">
        <f t="shared" ca="1" si="5"/>
        <v>#NAME?</v>
      </c>
      <c r="X41" s="7">
        <v>8</v>
      </c>
      <c r="Y41" s="14" t="b">
        <v>0</v>
      </c>
      <c r="Z41" s="7" t="s">
        <v>71</v>
      </c>
      <c r="AA41" s="7" t="s">
        <v>72</v>
      </c>
    </row>
    <row r="42" spans="1:27">
      <c r="A42" s="7">
        <v>13</v>
      </c>
      <c r="B42" s="7">
        <v>10</v>
      </c>
      <c r="C42" s="7" t="s">
        <v>90</v>
      </c>
      <c r="D42" s="7" t="s">
        <v>91</v>
      </c>
      <c r="E42" s="7" t="s">
        <v>25</v>
      </c>
      <c r="F42" s="7" t="s">
        <v>70</v>
      </c>
      <c r="G42" s="16">
        <v>1.831899542843541</v>
      </c>
      <c r="H42" s="16">
        <v>49.461287656775603</v>
      </c>
      <c r="I42" s="16">
        <v>27</v>
      </c>
      <c r="J42" s="16" t="e">
        <f t="shared" ca="1" si="3"/>
        <v>#NAME?</v>
      </c>
      <c r="K42" s="8" t="e">
        <f t="shared" ca="1" si="4"/>
        <v>#NAME?</v>
      </c>
      <c r="L42" s="7" t="e">
        <f ca="1">K42&lt;=Rules!$B$5</f>
        <v>#NAME?</v>
      </c>
      <c r="M42" s="12"/>
      <c r="N42" s="12"/>
      <c r="O42" s="12"/>
      <c r="P42" s="12"/>
      <c r="Q42" s="12">
        <v>-2491.09</v>
      </c>
      <c r="R42" s="12">
        <v>4.3329999999996289</v>
      </c>
      <c r="S42" s="7">
        <v>1</v>
      </c>
      <c r="T42" s="12">
        <v>4.3329999999996289</v>
      </c>
      <c r="U42" s="12">
        <v>4.3329999999996289</v>
      </c>
      <c r="V42" s="7" t="b">
        <f>T42&lt;=Rules!$B$4</f>
        <v>0</v>
      </c>
      <c r="W42" s="7" t="e">
        <f t="shared" ca="1" si="5"/>
        <v>#NAME?</v>
      </c>
      <c r="X42" s="7">
        <v>5</v>
      </c>
      <c r="Y42" s="14" t="b">
        <v>0</v>
      </c>
      <c r="Z42" s="7" t="s">
        <v>71</v>
      </c>
      <c r="AA42" s="7" t="s">
        <v>72</v>
      </c>
    </row>
    <row r="43" spans="1:27">
      <c r="A43" s="7">
        <v>13</v>
      </c>
      <c r="B43" s="7">
        <v>10</v>
      </c>
      <c r="C43" s="7" t="s">
        <v>92</v>
      </c>
      <c r="D43" s="7" t="s">
        <v>93</v>
      </c>
      <c r="E43" s="7" t="s">
        <v>89</v>
      </c>
      <c r="F43" s="7" t="s">
        <v>69</v>
      </c>
      <c r="G43" s="16">
        <v>1.8350410591926913</v>
      </c>
      <c r="H43" s="16">
        <v>49.546108598202665</v>
      </c>
      <c r="I43" s="16">
        <v>27</v>
      </c>
      <c r="J43" s="16" t="e">
        <f t="shared" ca="1" si="3"/>
        <v>#NAME?</v>
      </c>
      <c r="K43" s="8" t="e">
        <f t="shared" ca="1" si="4"/>
        <v>#NAME?</v>
      </c>
      <c r="L43" s="7" t="e">
        <f ca="1">K43&lt;=Rules!$B$5</f>
        <v>#NAME?</v>
      </c>
      <c r="M43" s="12"/>
      <c r="N43" s="12"/>
      <c r="O43" s="12"/>
      <c r="P43" s="12"/>
      <c r="Q43" s="12">
        <v>-2495.4229999999998</v>
      </c>
      <c r="R43" s="12">
        <v>0</v>
      </c>
      <c r="S43" s="7">
        <v>1</v>
      </c>
      <c r="T43" s="12">
        <v>0</v>
      </c>
      <c r="U43" s="12">
        <v>0</v>
      </c>
      <c r="V43" s="7" t="b">
        <f>T43&lt;=Rules!$B$4</f>
        <v>1</v>
      </c>
      <c r="W43" s="7" t="e">
        <f t="shared" ca="1" si="5"/>
        <v>#NAME?</v>
      </c>
      <c r="X43" s="7">
        <v>7</v>
      </c>
      <c r="Y43" s="14" t="b">
        <v>0</v>
      </c>
      <c r="Z43" s="7" t="s">
        <v>71</v>
      </c>
      <c r="AA43" s="7" t="s">
        <v>72</v>
      </c>
    </row>
    <row r="44" spans="1:27">
      <c r="A44" s="7">
        <v>13</v>
      </c>
      <c r="B44" s="7">
        <v>10</v>
      </c>
      <c r="C44" s="7" t="s">
        <v>47</v>
      </c>
      <c r="D44" s="7" t="s">
        <v>48</v>
      </c>
      <c r="E44" s="7" t="s">
        <v>25</v>
      </c>
      <c r="F44" s="7" t="s">
        <v>70</v>
      </c>
      <c r="G44" s="16">
        <v>1.8357945389508661</v>
      </c>
      <c r="H44" s="16">
        <v>49.566452551673386</v>
      </c>
      <c r="I44" s="16">
        <v>27</v>
      </c>
      <c r="J44" s="16" t="e">
        <f t="shared" ca="1" si="3"/>
        <v>#NAME?</v>
      </c>
      <c r="K44" s="8" t="e">
        <f t="shared" ca="1" si="4"/>
        <v>#NAME?</v>
      </c>
      <c r="L44" s="7" t="e">
        <f ca="1">K44&lt;=Rules!$B$5</f>
        <v>#NAME?</v>
      </c>
      <c r="M44" s="12">
        <v>-2466.0729999999999</v>
      </c>
      <c r="N44" s="12">
        <v>11.193000000000211</v>
      </c>
      <c r="O44" s="12">
        <v>-2462.3389999999999</v>
      </c>
      <c r="P44" s="12">
        <v>5.5599999999999454</v>
      </c>
      <c r="Q44" s="12"/>
      <c r="R44" s="12"/>
      <c r="S44" s="7">
        <v>2</v>
      </c>
      <c r="T44" s="12">
        <v>8.3765000000000782</v>
      </c>
      <c r="U44" s="12">
        <v>11.193000000000211</v>
      </c>
      <c r="V44" s="7" t="b">
        <f>T44&lt;=Rules!$B$4</f>
        <v>0</v>
      </c>
      <c r="W44" s="7" t="e">
        <f t="shared" ca="1" si="5"/>
        <v>#NAME?</v>
      </c>
      <c r="X44" s="7">
        <v>3</v>
      </c>
      <c r="Y44" s="14" t="b">
        <v>0</v>
      </c>
      <c r="Z44" s="7" t="s">
        <v>71</v>
      </c>
      <c r="AA44" s="7" t="s">
        <v>72</v>
      </c>
    </row>
    <row r="45" spans="1:27">
      <c r="A45" s="7">
        <v>13</v>
      </c>
      <c r="B45" s="7">
        <v>10</v>
      </c>
      <c r="C45" s="7" t="s">
        <v>38</v>
      </c>
      <c r="D45" s="7" t="s">
        <v>39</v>
      </c>
      <c r="E45" s="7" t="s">
        <v>40</v>
      </c>
      <c r="F45" s="7" t="s">
        <v>69</v>
      </c>
      <c r="G45" s="16">
        <v>1.8399793470749715</v>
      </c>
      <c r="H45" s="16">
        <v>49.67944237102423</v>
      </c>
      <c r="I45" s="16">
        <v>27</v>
      </c>
      <c r="J45" s="16" t="e">
        <f t="shared" ca="1" si="3"/>
        <v>#NAME?</v>
      </c>
      <c r="K45" s="8" t="e">
        <f t="shared" ca="1" si="4"/>
        <v>#NAME?</v>
      </c>
      <c r="L45" s="7" t="e">
        <f ca="1">K45&lt;=Rules!$B$5</f>
        <v>#NAME?</v>
      </c>
      <c r="M45" s="12"/>
      <c r="N45" s="12"/>
      <c r="O45" s="12">
        <v>-2467.8989999999999</v>
      </c>
      <c r="P45" s="12">
        <v>0</v>
      </c>
      <c r="Q45" s="12"/>
      <c r="R45" s="12"/>
      <c r="S45" s="7">
        <v>1</v>
      </c>
      <c r="T45" s="12">
        <v>0</v>
      </c>
      <c r="U45" s="12">
        <v>0</v>
      </c>
      <c r="V45" s="7" t="b">
        <f>T45&lt;=Rules!$B$4</f>
        <v>1</v>
      </c>
      <c r="W45" s="7" t="e">
        <f t="shared" ca="1" si="5"/>
        <v>#NAME?</v>
      </c>
      <c r="X45" s="7">
        <v>6</v>
      </c>
      <c r="Y45" s="14" t="b">
        <v>1</v>
      </c>
      <c r="Z45" s="7" t="s">
        <v>21</v>
      </c>
      <c r="AA45" s="7" t="s">
        <v>22</v>
      </c>
    </row>
    <row r="46" spans="1:27">
      <c r="A46" s="7">
        <v>1</v>
      </c>
      <c r="B46" s="7">
        <v>22</v>
      </c>
      <c r="C46" s="7" t="s">
        <v>41</v>
      </c>
      <c r="D46" s="7" t="s">
        <v>19</v>
      </c>
      <c r="E46" s="7" t="s">
        <v>25</v>
      </c>
      <c r="F46" s="7" t="s">
        <v>70</v>
      </c>
      <c r="G46" s="16">
        <v>0.11212367365544544</v>
      </c>
      <c r="H46" s="16">
        <v>1.3454840838653452</v>
      </c>
      <c r="I46" s="16">
        <v>12</v>
      </c>
      <c r="J46" s="16" t="e">
        <f t="shared" ca="1" si="3"/>
        <v>#NAME?</v>
      </c>
      <c r="K46" s="8" t="e">
        <f t="shared" ca="1" si="4"/>
        <v>#NAME?</v>
      </c>
      <c r="L46" s="7" t="e">
        <f ca="1">K46&lt;=Rules!$B$5</f>
        <v>#NAME?</v>
      </c>
      <c r="M46" s="12">
        <v>-3842.27</v>
      </c>
      <c r="N46" s="12">
        <v>2.5100000000002183</v>
      </c>
      <c r="O46" s="12">
        <v>-3836.0250000000001</v>
      </c>
      <c r="P46" s="12">
        <v>0.94299999999975626</v>
      </c>
      <c r="Q46" s="12">
        <v>-3857.1959999999999</v>
      </c>
      <c r="R46" s="12">
        <v>1.6550000000002001</v>
      </c>
      <c r="S46" s="7">
        <v>3</v>
      </c>
      <c r="T46" s="12">
        <v>1.6550000000002001</v>
      </c>
      <c r="U46" s="12">
        <v>2.5100000000002183</v>
      </c>
      <c r="V46" s="7" t="b">
        <f>T46&lt;=Rules!$B$4</f>
        <v>1</v>
      </c>
      <c r="W46" s="7" t="e">
        <f t="shared" ca="1" si="5"/>
        <v>#NAME?</v>
      </c>
      <c r="X46" s="7">
        <v>3</v>
      </c>
      <c r="Y46" s="14" t="b">
        <v>1</v>
      </c>
      <c r="Z46" s="7" t="s">
        <v>21</v>
      </c>
      <c r="AA46" s="7" t="s">
        <v>22</v>
      </c>
    </row>
    <row r="47" spans="1:27">
      <c r="A47" s="7">
        <v>1</v>
      </c>
      <c r="B47" s="7">
        <v>22</v>
      </c>
      <c r="C47" s="7" t="s">
        <v>18</v>
      </c>
      <c r="D47" s="7" t="s">
        <v>19</v>
      </c>
      <c r="E47" s="7" t="s">
        <v>20</v>
      </c>
      <c r="F47" s="7" t="s">
        <v>69</v>
      </c>
      <c r="G47" s="16">
        <v>0.11270671874625149</v>
      </c>
      <c r="H47" s="16">
        <v>1.3524806249550179</v>
      </c>
      <c r="I47" s="16">
        <v>12</v>
      </c>
      <c r="J47" s="16" t="e">
        <f t="shared" ca="1" si="3"/>
        <v>#NAME?</v>
      </c>
      <c r="K47" s="8" t="e">
        <f t="shared" ca="1" si="4"/>
        <v>#NAME?</v>
      </c>
      <c r="L47" s="7" t="e">
        <f ca="1">K47&lt;=Rules!$B$5</f>
        <v>#NAME?</v>
      </c>
      <c r="M47" s="12">
        <v>-3844.78</v>
      </c>
      <c r="N47" s="12">
        <v>0</v>
      </c>
      <c r="O47" s="12">
        <v>-3836.9679999999998</v>
      </c>
      <c r="P47" s="12">
        <v>0</v>
      </c>
      <c r="Q47" s="12">
        <v>-3858.8510000000001</v>
      </c>
      <c r="R47" s="12">
        <v>0</v>
      </c>
      <c r="S47" s="7">
        <v>3</v>
      </c>
      <c r="T47" s="12">
        <v>0</v>
      </c>
      <c r="U47" s="12">
        <v>0</v>
      </c>
      <c r="V47" s="7" t="b">
        <f>T47&lt;=Rules!$B$4</f>
        <v>1</v>
      </c>
      <c r="W47" s="7" t="e">
        <f t="shared" ca="1" si="5"/>
        <v>#NAME?</v>
      </c>
      <c r="X47" s="7">
        <v>4</v>
      </c>
      <c r="Y47" s="14" t="b">
        <v>0</v>
      </c>
      <c r="Z47" s="7" t="s">
        <v>71</v>
      </c>
      <c r="AA47" s="7" t="s">
        <v>72</v>
      </c>
    </row>
    <row r="48" spans="1:27">
      <c r="A48" s="7">
        <v>2</v>
      </c>
      <c r="B48" s="7">
        <v>22</v>
      </c>
      <c r="C48" s="7" t="s">
        <v>23</v>
      </c>
      <c r="D48" s="7" t="s">
        <v>24</v>
      </c>
      <c r="E48" s="7" t="s">
        <v>25</v>
      </c>
      <c r="F48" s="7" t="s">
        <v>70</v>
      </c>
      <c r="G48" s="16">
        <v>0.15138455843837456</v>
      </c>
      <c r="H48" s="16">
        <v>1.8166147012604947</v>
      </c>
      <c r="I48" s="16">
        <v>12</v>
      </c>
      <c r="J48" s="16" t="e">
        <f t="shared" ca="1" si="3"/>
        <v>#NAME?</v>
      </c>
      <c r="K48" s="8" t="e">
        <f t="shared" ca="1" si="4"/>
        <v>#NAME?</v>
      </c>
      <c r="L48" s="7" t="e">
        <f ca="1">K48&lt;=Rules!$B$5</f>
        <v>#NAME?</v>
      </c>
      <c r="M48" s="12">
        <v>-4426.0010000000002</v>
      </c>
      <c r="N48" s="12">
        <v>0</v>
      </c>
      <c r="O48" s="12">
        <v>-4425.0050000000001</v>
      </c>
      <c r="P48" s="12">
        <v>0</v>
      </c>
      <c r="Q48" s="12">
        <v>-4432.2709999999997</v>
      </c>
      <c r="R48" s="12">
        <v>0</v>
      </c>
      <c r="S48" s="7">
        <v>3</v>
      </c>
      <c r="T48" s="12">
        <v>0</v>
      </c>
      <c r="U48" s="12">
        <v>0</v>
      </c>
      <c r="V48" s="7" t="b">
        <f>T48&lt;=Rules!$B$4</f>
        <v>1</v>
      </c>
      <c r="W48" s="7" t="e">
        <f t="shared" ca="1" si="5"/>
        <v>#NAME?</v>
      </c>
      <c r="X48" s="7">
        <v>2</v>
      </c>
      <c r="Y48" s="14" t="b">
        <v>1</v>
      </c>
      <c r="Z48" s="7" t="s">
        <v>21</v>
      </c>
      <c r="AA48" s="7" t="s">
        <v>22</v>
      </c>
    </row>
    <row r="49" spans="1:27">
      <c r="A49" s="7">
        <v>3</v>
      </c>
      <c r="B49" s="7">
        <v>22</v>
      </c>
      <c r="C49" s="7" t="s">
        <v>23</v>
      </c>
      <c r="D49" s="7" t="s">
        <v>24</v>
      </c>
      <c r="E49" s="7" t="s">
        <v>25</v>
      </c>
      <c r="F49" s="7" t="s">
        <v>70</v>
      </c>
      <c r="G49" s="16">
        <v>0.15036971182296696</v>
      </c>
      <c r="H49" s="16">
        <v>1.8044365418756037</v>
      </c>
      <c r="I49" s="16">
        <v>12</v>
      </c>
      <c r="J49" s="16" t="e">
        <f t="shared" ca="1" si="3"/>
        <v>#NAME?</v>
      </c>
      <c r="K49" s="8" t="e">
        <f t="shared" ca="1" si="4"/>
        <v>#NAME?</v>
      </c>
      <c r="L49" s="7" t="e">
        <f ca="1">K49&lt;=Rules!$B$5</f>
        <v>#NAME?</v>
      </c>
      <c r="M49" s="12">
        <v>-4494.5609999999997</v>
      </c>
      <c r="N49" s="12">
        <v>1.4170000000003711</v>
      </c>
      <c r="O49" s="12">
        <v>-4479.2820000000002</v>
      </c>
      <c r="P49" s="12">
        <v>1.5799999999999272</v>
      </c>
      <c r="Q49" s="12">
        <v>-4529.1369999999997</v>
      </c>
      <c r="R49" s="12">
        <v>1.3800000000001091</v>
      </c>
      <c r="S49" s="7">
        <v>3</v>
      </c>
      <c r="T49" s="12">
        <v>1.4170000000003711</v>
      </c>
      <c r="U49" s="12">
        <v>1.5799999999999272</v>
      </c>
      <c r="V49" s="7" t="b">
        <f>T49&lt;=Rules!$B$4</f>
        <v>1</v>
      </c>
      <c r="W49" s="7" t="e">
        <f t="shared" ca="1" si="5"/>
        <v>#NAME?</v>
      </c>
      <c r="X49" s="7">
        <v>2</v>
      </c>
      <c r="Y49" s="14" t="b">
        <v>1</v>
      </c>
      <c r="Z49" s="7" t="s">
        <v>21</v>
      </c>
      <c r="AA49" s="7" t="s">
        <v>22</v>
      </c>
    </row>
    <row r="50" spans="1:27">
      <c r="A50" s="7">
        <v>3</v>
      </c>
      <c r="B50" s="7">
        <v>22</v>
      </c>
      <c r="C50" s="7" t="s">
        <v>73</v>
      </c>
      <c r="D50" s="7" t="s">
        <v>24</v>
      </c>
      <c r="E50" s="7" t="s">
        <v>40</v>
      </c>
      <c r="F50" s="7" t="s">
        <v>69</v>
      </c>
      <c r="G50" s="16">
        <v>0.15054259521876809</v>
      </c>
      <c r="H50" s="16">
        <v>1.8065111426252169</v>
      </c>
      <c r="I50" s="16">
        <v>12</v>
      </c>
      <c r="J50" s="16" t="e">
        <f t="shared" ca="1" si="3"/>
        <v>#NAME?</v>
      </c>
      <c r="K50" s="8" t="e">
        <f t="shared" ca="1" si="4"/>
        <v>#NAME?</v>
      </c>
      <c r="L50" s="7" t="e">
        <f ca="1">K50&lt;=Rules!$B$5</f>
        <v>#NAME?</v>
      </c>
      <c r="M50" s="12">
        <v>-4495.9780000000001</v>
      </c>
      <c r="N50" s="12">
        <v>0</v>
      </c>
      <c r="O50" s="12">
        <v>-4480.8620000000001</v>
      </c>
      <c r="P50" s="12">
        <v>0</v>
      </c>
      <c r="Q50" s="12">
        <v>-4530.5169999999998</v>
      </c>
      <c r="R50" s="12">
        <v>0</v>
      </c>
      <c r="S50" s="7">
        <v>3</v>
      </c>
      <c r="T50" s="12">
        <v>0</v>
      </c>
      <c r="U50" s="12">
        <v>0</v>
      </c>
      <c r="V50" s="7" t="b">
        <f>T50&lt;=Rules!$B$4</f>
        <v>1</v>
      </c>
      <c r="W50" s="7" t="e">
        <f t="shared" ca="1" si="5"/>
        <v>#NAME?</v>
      </c>
      <c r="X50" s="7">
        <v>4</v>
      </c>
      <c r="Y50" s="14" t="b">
        <v>0</v>
      </c>
      <c r="Z50" s="7" t="s">
        <v>71</v>
      </c>
      <c r="AA50" s="7" t="s">
        <v>72</v>
      </c>
    </row>
    <row r="51" spans="1:27">
      <c r="A51" s="7">
        <v>4</v>
      </c>
      <c r="B51" s="7">
        <v>22</v>
      </c>
      <c r="C51" s="7" t="s">
        <v>26</v>
      </c>
      <c r="D51" s="7" t="s">
        <v>27</v>
      </c>
      <c r="E51" s="7" t="s">
        <v>25</v>
      </c>
      <c r="F51" s="7" t="s">
        <v>70</v>
      </c>
      <c r="G51" s="16">
        <v>0.15612137528269088</v>
      </c>
      <c r="H51" s="16">
        <v>1.8734565033922905</v>
      </c>
      <c r="I51" s="16">
        <v>12</v>
      </c>
      <c r="J51" s="16" t="e">
        <f t="shared" ca="1" si="3"/>
        <v>#NAME?</v>
      </c>
      <c r="K51" s="8" t="e">
        <f t="shared" ca="1" si="4"/>
        <v>#NAME?</v>
      </c>
      <c r="L51" s="7" t="e">
        <f ca="1">K51&lt;=Rules!$B$5</f>
        <v>#NAME?</v>
      </c>
      <c r="M51" s="12"/>
      <c r="N51" s="12"/>
      <c r="O51" s="12"/>
      <c r="P51" s="12"/>
      <c r="Q51" s="12">
        <v>-3808.904</v>
      </c>
      <c r="R51" s="12">
        <v>0</v>
      </c>
      <c r="S51" s="7">
        <v>1</v>
      </c>
      <c r="T51" s="12">
        <v>0</v>
      </c>
      <c r="U51" s="12">
        <v>0</v>
      </c>
      <c r="V51" s="7" t="b">
        <f>T51&lt;=Rules!$B$4</f>
        <v>1</v>
      </c>
      <c r="W51" s="7" t="e">
        <f t="shared" ca="1" si="5"/>
        <v>#NAME?</v>
      </c>
      <c r="X51" s="7">
        <v>1</v>
      </c>
      <c r="Y51" s="14" t="b">
        <v>1</v>
      </c>
      <c r="Z51" s="7" t="s">
        <v>21</v>
      </c>
      <c r="AA51" s="7" t="s">
        <v>22</v>
      </c>
    </row>
    <row r="52" spans="1:27">
      <c r="A52" s="7">
        <v>4</v>
      </c>
      <c r="B52" s="7">
        <v>22</v>
      </c>
      <c r="C52" s="7" t="s">
        <v>32</v>
      </c>
      <c r="D52" s="7" t="s">
        <v>33</v>
      </c>
      <c r="E52" s="7" t="s">
        <v>25</v>
      </c>
      <c r="F52" s="7" t="s">
        <v>70</v>
      </c>
      <c r="G52" s="16">
        <v>0.15827457145700244</v>
      </c>
      <c r="H52" s="16">
        <v>1.8992948574840294</v>
      </c>
      <c r="I52" s="16">
        <v>12</v>
      </c>
      <c r="J52" s="16" t="e">
        <f t="shared" ca="1" si="3"/>
        <v>#NAME?</v>
      </c>
      <c r="K52" s="8" t="e">
        <f t="shared" ca="1" si="4"/>
        <v>#NAME?</v>
      </c>
      <c r="L52" s="7" t="e">
        <f ca="1">K52&lt;=Rules!$B$5</f>
        <v>#NAME?</v>
      </c>
      <c r="M52" s="12">
        <v>-3772.0070000000001</v>
      </c>
      <c r="N52" s="12">
        <v>0</v>
      </c>
      <c r="O52" s="12">
        <v>-3771.1190000000001</v>
      </c>
      <c r="P52" s="12">
        <v>0</v>
      </c>
      <c r="Q52" s="12"/>
      <c r="R52" s="12"/>
      <c r="S52" s="7">
        <v>2</v>
      </c>
      <c r="T52" s="12">
        <v>0</v>
      </c>
      <c r="U52" s="12">
        <v>0</v>
      </c>
      <c r="V52" s="7" t="b">
        <f>T52&lt;=Rules!$B$4</f>
        <v>1</v>
      </c>
      <c r="W52" s="7" t="e">
        <f t="shared" ca="1" si="5"/>
        <v>#NAME?</v>
      </c>
      <c r="X52" s="7">
        <v>2</v>
      </c>
      <c r="Y52" s="14" t="b">
        <v>0</v>
      </c>
      <c r="Z52" s="7" t="s">
        <v>71</v>
      </c>
      <c r="AA52" s="7" t="s">
        <v>72</v>
      </c>
    </row>
    <row r="53" spans="1:27">
      <c r="A53" s="7">
        <v>5</v>
      </c>
      <c r="B53" s="7">
        <v>22</v>
      </c>
      <c r="C53" s="7" t="s">
        <v>74</v>
      </c>
      <c r="D53" s="7" t="s">
        <v>75</v>
      </c>
      <c r="E53" s="7" t="s">
        <v>25</v>
      </c>
      <c r="F53" s="7" t="s">
        <v>70</v>
      </c>
      <c r="G53" s="16">
        <v>0.10987774243266575</v>
      </c>
      <c r="H53" s="16">
        <v>1.3185329091919891</v>
      </c>
      <c r="I53" s="16">
        <v>12</v>
      </c>
      <c r="J53" s="16" t="e">
        <f t="shared" ca="1" si="3"/>
        <v>#NAME?</v>
      </c>
      <c r="K53" s="8" t="e">
        <f t="shared" ca="1" si="4"/>
        <v>#NAME?</v>
      </c>
      <c r="L53" s="7" t="e">
        <f ca="1">K53&lt;=Rules!$B$5</f>
        <v>#NAME?</v>
      </c>
      <c r="M53" s="12"/>
      <c r="N53" s="12"/>
      <c r="O53" s="12"/>
      <c r="P53" s="12"/>
      <c r="Q53" s="12">
        <v>-4948.9049999999997</v>
      </c>
      <c r="R53" s="12">
        <v>0</v>
      </c>
      <c r="S53" s="7">
        <v>1</v>
      </c>
      <c r="T53" s="12">
        <v>0</v>
      </c>
      <c r="U53" s="12">
        <v>0</v>
      </c>
      <c r="V53" s="7" t="b">
        <f>T53&lt;=Rules!$B$4</f>
        <v>1</v>
      </c>
      <c r="W53" s="7" t="e">
        <f t="shared" ca="1" si="5"/>
        <v>#NAME?</v>
      </c>
      <c r="X53" s="7">
        <v>4</v>
      </c>
      <c r="Y53" s="14" t="b">
        <v>0</v>
      </c>
      <c r="Z53" s="7" t="s">
        <v>71</v>
      </c>
      <c r="AA53" s="7" t="s">
        <v>72</v>
      </c>
    </row>
    <row r="54" spans="1:27">
      <c r="A54" s="7">
        <v>5</v>
      </c>
      <c r="B54" s="7">
        <v>22</v>
      </c>
      <c r="C54" s="7" t="s">
        <v>28</v>
      </c>
      <c r="D54" s="7" t="s">
        <v>29</v>
      </c>
      <c r="E54" s="7" t="s">
        <v>25</v>
      </c>
      <c r="F54" s="7" t="s">
        <v>70</v>
      </c>
      <c r="G54" s="16">
        <v>0.11005507642166203</v>
      </c>
      <c r="H54" s="16">
        <v>1.3206609170599444</v>
      </c>
      <c r="I54" s="16">
        <v>12</v>
      </c>
      <c r="J54" s="16" t="e">
        <f t="shared" ca="1" si="3"/>
        <v>#NAME?</v>
      </c>
      <c r="K54" s="8" t="e">
        <f t="shared" ca="1" si="4"/>
        <v>#NAME?</v>
      </c>
      <c r="L54" s="7" t="e">
        <f ca="1">K54&lt;=Rules!$B$5</f>
        <v>#NAME?</v>
      </c>
      <c r="M54" s="12">
        <v>-4942.74</v>
      </c>
      <c r="N54" s="12">
        <v>0</v>
      </c>
      <c r="O54" s="12">
        <v>-4940.97</v>
      </c>
      <c r="P54" s="12">
        <v>0</v>
      </c>
      <c r="Q54" s="12"/>
      <c r="R54" s="12"/>
      <c r="S54" s="7">
        <v>2</v>
      </c>
      <c r="T54" s="12">
        <v>0</v>
      </c>
      <c r="U54" s="12">
        <v>0</v>
      </c>
      <c r="V54" s="7" t="b">
        <f>T54&lt;=Rules!$B$4</f>
        <v>1</v>
      </c>
      <c r="W54" s="7" t="e">
        <f t="shared" ca="1" si="5"/>
        <v>#NAME?</v>
      </c>
      <c r="X54" s="7">
        <v>3</v>
      </c>
      <c r="Y54" s="14" t="b">
        <v>1</v>
      </c>
      <c r="Z54" s="7" t="s">
        <v>21</v>
      </c>
      <c r="AA54" s="7" t="s">
        <v>22</v>
      </c>
    </row>
    <row r="55" spans="1:27">
      <c r="A55" s="7">
        <v>5</v>
      </c>
      <c r="B55" s="7">
        <v>22</v>
      </c>
      <c r="C55" s="7" t="s">
        <v>50</v>
      </c>
      <c r="D55" s="7" t="s">
        <v>51</v>
      </c>
      <c r="E55" s="7" t="s">
        <v>25</v>
      </c>
      <c r="F55" s="7" t="s">
        <v>70</v>
      </c>
      <c r="G55" s="16">
        <v>0.12662012218875357</v>
      </c>
      <c r="H55" s="16">
        <v>1.5194414662650428</v>
      </c>
      <c r="I55" s="16">
        <v>12</v>
      </c>
      <c r="J55" s="16" t="e">
        <f t="shared" ca="1" si="3"/>
        <v>#NAME?</v>
      </c>
      <c r="K55" s="8" t="e">
        <f t="shared" ca="1" si="4"/>
        <v>#NAME?</v>
      </c>
      <c r="L55" s="7" t="e">
        <f ca="1">K55&lt;=Rules!$B$5</f>
        <v>#NAME?</v>
      </c>
      <c r="M55" s="12">
        <v>-4907.3909999999996</v>
      </c>
      <c r="N55" s="12">
        <v>35.34900000000016</v>
      </c>
      <c r="O55" s="12"/>
      <c r="P55" s="12"/>
      <c r="Q55" s="12"/>
      <c r="R55" s="12"/>
      <c r="S55" s="7">
        <v>1</v>
      </c>
      <c r="T55" s="12">
        <v>35.34900000000016</v>
      </c>
      <c r="U55" s="12">
        <v>35.34900000000016</v>
      </c>
      <c r="V55" s="7" t="b">
        <f>T55&lt;=Rules!$B$4</f>
        <v>0</v>
      </c>
      <c r="W55" s="7" t="e">
        <f t="shared" ca="1" si="5"/>
        <v>#NAME?</v>
      </c>
      <c r="X55" s="7">
        <v>4</v>
      </c>
      <c r="Y55" s="14" t="b">
        <v>0</v>
      </c>
      <c r="Z55" s="7" t="s">
        <v>71</v>
      </c>
      <c r="AA55" s="7" t="s">
        <v>72</v>
      </c>
    </row>
    <row r="56" spans="1:27">
      <c r="A56" s="7">
        <v>5</v>
      </c>
      <c r="B56" s="7">
        <v>22</v>
      </c>
      <c r="C56" s="7" t="s">
        <v>76</v>
      </c>
      <c r="D56" s="7" t="s">
        <v>77</v>
      </c>
      <c r="E56" s="7" t="s">
        <v>20</v>
      </c>
      <c r="F56" s="7" t="s">
        <v>69</v>
      </c>
      <c r="G56" s="16">
        <v>0.16209923722941114</v>
      </c>
      <c r="H56" s="16">
        <v>1.9451908467529337</v>
      </c>
      <c r="I56" s="16">
        <v>12</v>
      </c>
      <c r="J56" s="16" t="e">
        <f t="shared" ca="1" si="3"/>
        <v>#NAME?</v>
      </c>
      <c r="K56" s="8" t="e">
        <f t="shared" ca="1" si="4"/>
        <v>#NAME?</v>
      </c>
      <c r="L56" s="7" t="e">
        <f ca="1">K56&lt;=Rules!$B$5</f>
        <v>#NAME?</v>
      </c>
      <c r="M56" s="12"/>
      <c r="N56" s="12"/>
      <c r="O56" s="12">
        <v>-4836.3519999999999</v>
      </c>
      <c r="P56" s="12">
        <v>104.61800000000039</v>
      </c>
      <c r="Q56" s="12"/>
      <c r="R56" s="12"/>
      <c r="S56" s="7">
        <v>1</v>
      </c>
      <c r="T56" s="12">
        <v>104.61800000000039</v>
      </c>
      <c r="U56" s="12">
        <v>104.61800000000039</v>
      </c>
      <c r="V56" s="7" t="b">
        <f>T56&lt;=Rules!$B$4</f>
        <v>0</v>
      </c>
      <c r="W56" s="7" t="e">
        <f t="shared" ca="1" si="5"/>
        <v>#NAME?</v>
      </c>
      <c r="X56" s="7">
        <v>3</v>
      </c>
      <c r="Y56" s="14" t="b">
        <v>0</v>
      </c>
      <c r="Z56" s="7" t="s">
        <v>71</v>
      </c>
      <c r="AA56" s="7" t="s">
        <v>72</v>
      </c>
    </row>
    <row r="57" spans="1:27">
      <c r="A57" s="7">
        <v>5</v>
      </c>
      <c r="B57" s="7">
        <v>22</v>
      </c>
      <c r="C57" s="7" t="s">
        <v>78</v>
      </c>
      <c r="D57" s="7" t="s">
        <v>79</v>
      </c>
      <c r="E57" s="7" t="s">
        <v>20</v>
      </c>
      <c r="F57" s="7" t="s">
        <v>69</v>
      </c>
      <c r="G57" s="16">
        <v>0.28420203940828037</v>
      </c>
      <c r="H57" s="16">
        <v>3.4104244728993645</v>
      </c>
      <c r="I57" s="16">
        <v>12</v>
      </c>
      <c r="J57" s="16" t="e">
        <f t="shared" ca="1" si="3"/>
        <v>#NAME?</v>
      </c>
      <c r="K57" s="8" t="e">
        <f t="shared" ca="1" si="4"/>
        <v>#NAME?</v>
      </c>
      <c r="L57" s="7" t="e">
        <f ca="1">K57&lt;=Rules!$B$5</f>
        <v>#NAME?</v>
      </c>
      <c r="M57" s="12"/>
      <c r="N57" s="12"/>
      <c r="O57" s="12"/>
      <c r="P57" s="12"/>
      <c r="Q57" s="12">
        <v>-4853.3149999999996</v>
      </c>
      <c r="R57" s="12">
        <v>95.590000000000146</v>
      </c>
      <c r="S57" s="7">
        <v>1</v>
      </c>
      <c r="T57" s="12">
        <v>95.590000000000146</v>
      </c>
      <c r="U57" s="12">
        <v>95.590000000000146</v>
      </c>
      <c r="V57" s="7" t="b">
        <f>T57&lt;=Rules!$B$4</f>
        <v>0</v>
      </c>
      <c r="W57" s="7" t="e">
        <f t="shared" ca="1" si="5"/>
        <v>#NAME?</v>
      </c>
      <c r="X57" s="7">
        <v>2</v>
      </c>
      <c r="Y57" s="14" t="b">
        <v>0</v>
      </c>
      <c r="Z57" s="7" t="s">
        <v>71</v>
      </c>
      <c r="AA57" s="7" t="s">
        <v>72</v>
      </c>
    </row>
    <row r="58" spans="1:27">
      <c r="A58" s="7">
        <v>6</v>
      </c>
      <c r="B58" s="7">
        <v>22</v>
      </c>
      <c r="C58" s="7" t="s">
        <v>80</v>
      </c>
      <c r="D58" s="7" t="s">
        <v>27</v>
      </c>
      <c r="E58" s="7" t="s">
        <v>81</v>
      </c>
      <c r="F58" s="7" t="s">
        <v>69</v>
      </c>
      <c r="G58" s="16">
        <v>0.13257184490120219</v>
      </c>
      <c r="H58" s="16">
        <v>1.5908621388144262</v>
      </c>
      <c r="I58" s="16">
        <v>12</v>
      </c>
      <c r="J58" s="16" t="e">
        <f t="shared" ca="1" si="3"/>
        <v>#NAME?</v>
      </c>
      <c r="K58" s="8" t="e">
        <f t="shared" ca="1" si="4"/>
        <v>#NAME?</v>
      </c>
      <c r="L58" s="7" t="e">
        <f ca="1">K58&lt;=Rules!$B$5</f>
        <v>#NAME?</v>
      </c>
      <c r="M58" s="12"/>
      <c r="N58" s="12"/>
      <c r="O58" s="12"/>
      <c r="P58" s="12"/>
      <c r="Q58" s="12">
        <v>-6150.4690000000001</v>
      </c>
      <c r="R58" s="12">
        <v>1.5950000000002547</v>
      </c>
      <c r="S58" s="7">
        <v>1</v>
      </c>
      <c r="T58" s="12">
        <v>1.5950000000002547</v>
      </c>
      <c r="U58" s="12">
        <v>1.5950000000002547</v>
      </c>
      <c r="V58" s="7" t="b">
        <f>T58&lt;=Rules!$B$4</f>
        <v>1</v>
      </c>
      <c r="W58" s="7" t="e">
        <f t="shared" ca="1" si="5"/>
        <v>#NAME?</v>
      </c>
      <c r="X58" s="7">
        <v>3</v>
      </c>
      <c r="Y58" s="14" t="b">
        <v>0</v>
      </c>
      <c r="Z58" s="7" t="s">
        <v>71</v>
      </c>
      <c r="AA58" s="7" t="s">
        <v>72</v>
      </c>
    </row>
    <row r="59" spans="1:27">
      <c r="A59" s="7">
        <v>6</v>
      </c>
      <c r="B59" s="7">
        <v>22</v>
      </c>
      <c r="C59" s="7" t="s">
        <v>26</v>
      </c>
      <c r="D59" s="7" t="s">
        <v>27</v>
      </c>
      <c r="E59" s="7" t="s">
        <v>25</v>
      </c>
      <c r="F59" s="7" t="s">
        <v>70</v>
      </c>
      <c r="G59" s="16">
        <v>0.13264391141095774</v>
      </c>
      <c r="H59" s="16">
        <v>1.5917269369314928</v>
      </c>
      <c r="I59" s="16">
        <v>12</v>
      </c>
      <c r="J59" s="16" t="e">
        <f t="shared" ca="1" si="3"/>
        <v>#NAME?</v>
      </c>
      <c r="K59" s="8" t="e">
        <f t="shared" ca="1" si="4"/>
        <v>#NAME?</v>
      </c>
      <c r="L59" s="7" t="e">
        <f ca="1">K59&lt;=Rules!$B$5</f>
        <v>#NAME?</v>
      </c>
      <c r="M59" s="12">
        <v>-6105.4229999999998</v>
      </c>
      <c r="N59" s="12">
        <v>0</v>
      </c>
      <c r="O59" s="12">
        <v>-6094.1440000000002</v>
      </c>
      <c r="P59" s="12">
        <v>0</v>
      </c>
      <c r="Q59" s="12"/>
      <c r="R59" s="12"/>
      <c r="S59" s="7">
        <v>2</v>
      </c>
      <c r="T59" s="12">
        <v>0</v>
      </c>
      <c r="U59" s="12">
        <v>0</v>
      </c>
      <c r="V59" s="7" t="b">
        <f>T59&lt;=Rules!$B$4</f>
        <v>1</v>
      </c>
      <c r="W59" s="7" t="e">
        <f t="shared" ca="1" si="5"/>
        <v>#NAME?</v>
      </c>
      <c r="X59" s="7">
        <v>1</v>
      </c>
      <c r="Y59" s="14" t="b">
        <v>1</v>
      </c>
      <c r="Z59" s="7" t="s">
        <v>21</v>
      </c>
      <c r="AA59" s="7" t="s">
        <v>22</v>
      </c>
    </row>
    <row r="60" spans="1:27">
      <c r="A60" s="7">
        <v>6</v>
      </c>
      <c r="B60" s="7">
        <v>22</v>
      </c>
      <c r="C60" s="7" t="s">
        <v>30</v>
      </c>
      <c r="D60" s="7" t="s">
        <v>31</v>
      </c>
      <c r="E60" s="7" t="s">
        <v>25</v>
      </c>
      <c r="F60" s="7" t="s">
        <v>70</v>
      </c>
      <c r="G60" s="16">
        <v>0.13356487069835168</v>
      </c>
      <c r="H60" s="16">
        <v>1.6027784483802201</v>
      </c>
      <c r="I60" s="16">
        <v>12</v>
      </c>
      <c r="J60" s="16" t="e">
        <f t="shared" ca="1" si="3"/>
        <v>#NAME?</v>
      </c>
      <c r="K60" s="8" t="e">
        <f t="shared" ca="1" si="4"/>
        <v>#NAME?</v>
      </c>
      <c r="L60" s="7" t="e">
        <f ca="1">K60&lt;=Rules!$B$5</f>
        <v>#NAME?</v>
      </c>
      <c r="M60" s="12"/>
      <c r="N60" s="12"/>
      <c r="O60" s="12"/>
      <c r="P60" s="12"/>
      <c r="Q60" s="12">
        <v>-6152.0640000000003</v>
      </c>
      <c r="R60" s="12">
        <v>0</v>
      </c>
      <c r="S60" s="7">
        <v>1</v>
      </c>
      <c r="T60" s="12">
        <v>0</v>
      </c>
      <c r="U60" s="12">
        <v>0</v>
      </c>
      <c r="V60" s="7" t="b">
        <f>T60&lt;=Rules!$B$4</f>
        <v>1</v>
      </c>
      <c r="W60" s="7" t="e">
        <f t="shared" ca="1" si="5"/>
        <v>#NAME?</v>
      </c>
      <c r="X60" s="7">
        <v>3</v>
      </c>
      <c r="Y60" s="14" t="b">
        <v>0</v>
      </c>
      <c r="Z60" s="7" t="s">
        <v>71</v>
      </c>
      <c r="AA60" s="7" t="s">
        <v>72</v>
      </c>
    </row>
    <row r="61" spans="1:27">
      <c r="A61" s="7">
        <v>7</v>
      </c>
      <c r="B61" s="7">
        <v>22</v>
      </c>
      <c r="C61" s="7" t="s">
        <v>46</v>
      </c>
      <c r="D61" s="7" t="s">
        <v>27</v>
      </c>
      <c r="E61" s="7" t="s">
        <v>20</v>
      </c>
      <c r="F61" s="7" t="s">
        <v>69</v>
      </c>
      <c r="G61" s="16">
        <v>0.24669976202978472</v>
      </c>
      <c r="H61" s="16">
        <v>2.9603971443574166</v>
      </c>
      <c r="I61" s="16">
        <v>12</v>
      </c>
      <c r="J61" s="16" t="e">
        <f t="shared" ca="1" si="3"/>
        <v>#NAME?</v>
      </c>
      <c r="K61" s="8" t="e">
        <f t="shared" ca="1" si="4"/>
        <v>#NAME?</v>
      </c>
      <c r="L61" s="7" t="e">
        <f ca="1">K61&lt;=Rules!$B$5</f>
        <v>#NAME?</v>
      </c>
      <c r="M61" s="12">
        <v>-7439.28</v>
      </c>
      <c r="N61" s="12">
        <v>0</v>
      </c>
      <c r="O61" s="12">
        <v>-7436.1180000000004</v>
      </c>
      <c r="P61" s="12">
        <v>0</v>
      </c>
      <c r="Q61" s="12"/>
      <c r="R61" s="12"/>
      <c r="S61" s="7">
        <v>2</v>
      </c>
      <c r="T61" s="12">
        <v>0</v>
      </c>
      <c r="U61" s="12">
        <v>0</v>
      </c>
      <c r="V61" s="7" t="b">
        <f>T61&lt;=Rules!$B$4</f>
        <v>1</v>
      </c>
      <c r="W61" s="7" t="e">
        <f t="shared" ca="1" si="5"/>
        <v>#NAME?</v>
      </c>
      <c r="X61" s="7">
        <v>2</v>
      </c>
      <c r="Y61" s="14" t="b">
        <v>0</v>
      </c>
      <c r="Z61" s="7" t="s">
        <v>71</v>
      </c>
      <c r="AA61" s="7" t="s">
        <v>72</v>
      </c>
    </row>
    <row r="62" spans="1:27">
      <c r="A62" s="7">
        <v>7</v>
      </c>
      <c r="B62" s="7">
        <v>22</v>
      </c>
      <c r="C62" s="7" t="s">
        <v>26</v>
      </c>
      <c r="D62" s="7" t="s">
        <v>27</v>
      </c>
      <c r="E62" s="7" t="s">
        <v>25</v>
      </c>
      <c r="F62" s="7" t="s">
        <v>70</v>
      </c>
      <c r="G62" s="16">
        <v>0.24688156110213597</v>
      </c>
      <c r="H62" s="16">
        <v>2.9625787332256315</v>
      </c>
      <c r="I62" s="16">
        <v>12</v>
      </c>
      <c r="J62" s="16" t="e">
        <f t="shared" ca="1" si="3"/>
        <v>#NAME?</v>
      </c>
      <c r="K62" s="8" t="e">
        <f t="shared" ca="1" si="4"/>
        <v>#NAME?</v>
      </c>
      <c r="L62" s="7" t="e">
        <f ca="1">K62&lt;=Rules!$B$5</f>
        <v>#NAME?</v>
      </c>
      <c r="M62" s="12"/>
      <c r="N62" s="12"/>
      <c r="O62" s="12">
        <v>-7435.07</v>
      </c>
      <c r="P62" s="12">
        <v>1.0480000000006839</v>
      </c>
      <c r="Q62" s="12"/>
      <c r="R62" s="12"/>
      <c r="S62" s="7">
        <v>1</v>
      </c>
      <c r="T62" s="12">
        <v>1.0480000000006839</v>
      </c>
      <c r="U62" s="12">
        <v>1.0480000000006839</v>
      </c>
      <c r="V62" s="7" t="b">
        <f>T62&lt;=Rules!$B$4</f>
        <v>1</v>
      </c>
      <c r="W62" s="7" t="e">
        <f t="shared" ca="1" si="5"/>
        <v>#NAME?</v>
      </c>
      <c r="X62" s="7">
        <v>1</v>
      </c>
      <c r="Y62" s="14" t="b">
        <v>1</v>
      </c>
      <c r="Z62" s="7" t="s">
        <v>21</v>
      </c>
      <c r="AA62" s="7" t="s">
        <v>22</v>
      </c>
    </row>
    <row r="63" spans="1:27">
      <c r="A63" s="7">
        <v>7</v>
      </c>
      <c r="B63" s="7">
        <v>22</v>
      </c>
      <c r="C63" s="7" t="s">
        <v>41</v>
      </c>
      <c r="D63" s="7" t="s">
        <v>19</v>
      </c>
      <c r="E63" s="7" t="s">
        <v>25</v>
      </c>
      <c r="F63" s="7" t="s">
        <v>70</v>
      </c>
      <c r="G63" s="16">
        <v>0.24700366220651268</v>
      </c>
      <c r="H63" s="16">
        <v>2.9640439464781521</v>
      </c>
      <c r="I63" s="16">
        <v>12</v>
      </c>
      <c r="J63" s="16" t="e">
        <f t="shared" ca="1" si="3"/>
        <v>#NAME?</v>
      </c>
      <c r="K63" s="8" t="e">
        <f t="shared" ca="1" si="4"/>
        <v>#NAME?</v>
      </c>
      <c r="L63" s="7" t="e">
        <f ca="1">K63&lt;=Rules!$B$5</f>
        <v>#NAME?</v>
      </c>
      <c r="M63" s="12"/>
      <c r="N63" s="12"/>
      <c r="O63" s="12"/>
      <c r="P63" s="12"/>
      <c r="Q63" s="12">
        <v>-7458.3680000000004</v>
      </c>
      <c r="R63" s="12">
        <v>0</v>
      </c>
      <c r="S63" s="7">
        <v>1</v>
      </c>
      <c r="T63" s="12">
        <v>0</v>
      </c>
      <c r="U63" s="12">
        <v>0</v>
      </c>
      <c r="V63" s="7" t="b">
        <f>T63&lt;=Rules!$B$4</f>
        <v>1</v>
      </c>
      <c r="W63" s="7" t="e">
        <f t="shared" ca="1" si="5"/>
        <v>#NAME?</v>
      </c>
      <c r="X63" s="7">
        <v>3</v>
      </c>
      <c r="Y63" s="14" t="b">
        <v>0</v>
      </c>
      <c r="Z63" s="7" t="s">
        <v>71</v>
      </c>
      <c r="AA63" s="7" t="s">
        <v>72</v>
      </c>
    </row>
    <row r="64" spans="1:27">
      <c r="A64" s="7">
        <v>7</v>
      </c>
      <c r="B64" s="7">
        <v>22</v>
      </c>
      <c r="C64" s="7" t="s">
        <v>32</v>
      </c>
      <c r="D64" s="7" t="s">
        <v>33</v>
      </c>
      <c r="E64" s="7" t="s">
        <v>25</v>
      </c>
      <c r="F64" s="7" t="s">
        <v>70</v>
      </c>
      <c r="G64" s="16">
        <v>0.24706785894578989</v>
      </c>
      <c r="H64" s="16">
        <v>2.9648143073494788</v>
      </c>
      <c r="I64" s="16">
        <v>12</v>
      </c>
      <c r="J64" s="16" t="e">
        <f t="shared" ca="1" si="3"/>
        <v>#NAME?</v>
      </c>
      <c r="K64" s="8" t="e">
        <f t="shared" ca="1" si="4"/>
        <v>#NAME?</v>
      </c>
      <c r="L64" s="7" t="e">
        <f ca="1">K64&lt;=Rules!$B$5</f>
        <v>#NAME?</v>
      </c>
      <c r="M64" s="12">
        <v>-7430.7910000000002</v>
      </c>
      <c r="N64" s="12">
        <v>8.488999999999578</v>
      </c>
      <c r="O64" s="12"/>
      <c r="P64" s="12"/>
      <c r="Q64" s="12"/>
      <c r="R64" s="12"/>
      <c r="S64" s="7">
        <v>1</v>
      </c>
      <c r="T64" s="12">
        <v>8.488999999999578</v>
      </c>
      <c r="U64" s="12">
        <v>8.488999999999578</v>
      </c>
      <c r="V64" s="7" t="b">
        <f>T64&lt;=Rules!$B$4</f>
        <v>0</v>
      </c>
      <c r="W64" s="7" t="e">
        <f t="shared" ca="1" si="5"/>
        <v>#NAME?</v>
      </c>
      <c r="X64" s="7">
        <v>2</v>
      </c>
      <c r="Y64" s="14" t="b">
        <v>0</v>
      </c>
      <c r="Z64" s="7" t="s">
        <v>71</v>
      </c>
      <c r="AA64" s="7" t="s">
        <v>72</v>
      </c>
    </row>
    <row r="65" spans="1:27">
      <c r="A65" s="7">
        <v>8</v>
      </c>
      <c r="B65" s="7">
        <v>22</v>
      </c>
      <c r="C65" s="7" t="s">
        <v>83</v>
      </c>
      <c r="D65" s="7" t="s">
        <v>39</v>
      </c>
      <c r="E65" s="7" t="s">
        <v>25</v>
      </c>
      <c r="F65" s="7" t="s">
        <v>70</v>
      </c>
      <c r="G65" s="16">
        <v>0.20449846377391287</v>
      </c>
      <c r="H65" s="16">
        <v>2.4539815652869543</v>
      </c>
      <c r="I65" s="16">
        <v>12</v>
      </c>
      <c r="J65" s="16" t="e">
        <f t="shared" ca="1" si="3"/>
        <v>#NAME?</v>
      </c>
      <c r="K65" s="8" t="e">
        <f t="shared" ca="1" si="4"/>
        <v>#NAME?</v>
      </c>
      <c r="L65" s="7" t="e">
        <f ca="1">K65&lt;=Rules!$B$5</f>
        <v>#NAME?</v>
      </c>
      <c r="M65" s="12"/>
      <c r="N65" s="12"/>
      <c r="O65" s="12">
        <v>-6206.5540000000001</v>
      </c>
      <c r="P65" s="12">
        <v>0</v>
      </c>
      <c r="Q65" s="12"/>
      <c r="R65" s="12"/>
      <c r="S65" s="7">
        <v>1</v>
      </c>
      <c r="T65" s="12">
        <v>0</v>
      </c>
      <c r="U65" s="12">
        <v>0</v>
      </c>
      <c r="V65" s="7" t="b">
        <f>T65&lt;=Rules!$B$4</f>
        <v>1</v>
      </c>
      <c r="W65" s="7" t="e">
        <f t="shared" ca="1" si="5"/>
        <v>#NAME?</v>
      </c>
      <c r="X65" s="7">
        <v>4</v>
      </c>
      <c r="Y65" s="14" t="b">
        <v>0</v>
      </c>
      <c r="Z65" s="7" t="s">
        <v>71</v>
      </c>
      <c r="AA65" s="7" t="s">
        <v>72</v>
      </c>
    </row>
    <row r="66" spans="1:27">
      <c r="A66" s="7">
        <v>8</v>
      </c>
      <c r="B66" s="7">
        <v>22</v>
      </c>
      <c r="C66" s="7" t="s">
        <v>23</v>
      </c>
      <c r="D66" s="7" t="s">
        <v>24</v>
      </c>
      <c r="E66" s="7" t="s">
        <v>25</v>
      </c>
      <c r="F66" s="7" t="s">
        <v>70</v>
      </c>
      <c r="G66" s="16">
        <v>0.20499998014250184</v>
      </c>
      <c r="H66" s="16">
        <v>2.459999761710022</v>
      </c>
      <c r="I66" s="16">
        <v>12</v>
      </c>
      <c r="J66" s="16" t="e">
        <f t="shared" ca="1" si="3"/>
        <v>#NAME?</v>
      </c>
      <c r="K66" s="8" t="e">
        <f t="shared" ca="1" si="4"/>
        <v>#NAME?</v>
      </c>
      <c r="L66" s="7" t="e">
        <f ca="1">K66&lt;=Rules!$B$5</f>
        <v>#NAME?</v>
      </c>
      <c r="M66" s="12">
        <v>-6206.3540000000003</v>
      </c>
      <c r="N66" s="12">
        <v>0</v>
      </c>
      <c r="O66" s="12">
        <v>-6205.3410000000003</v>
      </c>
      <c r="P66" s="12">
        <v>1.2129999999997381</v>
      </c>
      <c r="Q66" s="12"/>
      <c r="R66" s="12"/>
      <c r="S66" s="7">
        <v>2</v>
      </c>
      <c r="T66" s="12">
        <v>0.60649999999986903</v>
      </c>
      <c r="U66" s="12">
        <v>1.2129999999997381</v>
      </c>
      <c r="V66" s="7" t="b">
        <f>T66&lt;=Rules!$B$4</f>
        <v>1</v>
      </c>
      <c r="W66" s="7" t="e">
        <f t="shared" ca="1" si="5"/>
        <v>#NAME?</v>
      </c>
      <c r="X66" s="7">
        <v>2</v>
      </c>
      <c r="Y66" s="14" t="b">
        <v>1</v>
      </c>
      <c r="Z66" s="7" t="s">
        <v>21</v>
      </c>
      <c r="AA66" s="7" t="s">
        <v>22</v>
      </c>
    </row>
    <row r="67" spans="1:27">
      <c r="A67" s="7">
        <v>8</v>
      </c>
      <c r="B67" s="7">
        <v>22</v>
      </c>
      <c r="C67" s="7" t="s">
        <v>82</v>
      </c>
      <c r="D67" s="7" t="s">
        <v>27</v>
      </c>
      <c r="E67" s="7" t="s">
        <v>35</v>
      </c>
      <c r="F67" s="7" t="s">
        <v>69</v>
      </c>
      <c r="G67" s="16">
        <v>0.20582103163633458</v>
      </c>
      <c r="H67" s="16">
        <v>2.469852379636015</v>
      </c>
      <c r="I67" s="16">
        <v>12</v>
      </c>
      <c r="J67" s="16" t="e">
        <f t="shared" ca="1" si="3"/>
        <v>#NAME?</v>
      </c>
      <c r="K67" s="8" t="e">
        <f t="shared" ca="1" si="4"/>
        <v>#NAME?</v>
      </c>
      <c r="L67" s="7" t="e">
        <f ca="1">K67&lt;=Rules!$B$5</f>
        <v>#NAME?</v>
      </c>
      <c r="M67" s="12"/>
      <c r="N67" s="12"/>
      <c r="O67" s="12"/>
      <c r="P67" s="12"/>
      <c r="Q67" s="12">
        <v>-6217.2420000000002</v>
      </c>
      <c r="R67" s="12">
        <v>0</v>
      </c>
      <c r="S67" s="7">
        <v>1</v>
      </c>
      <c r="T67" s="12">
        <v>0</v>
      </c>
      <c r="U67" s="12">
        <v>0</v>
      </c>
      <c r="V67" s="7" t="b">
        <f>T67&lt;=Rules!$B$4</f>
        <v>1</v>
      </c>
      <c r="W67" s="7" t="e">
        <f t="shared" ca="1" si="5"/>
        <v>#NAME?</v>
      </c>
      <c r="X67" s="7">
        <v>2</v>
      </c>
      <c r="Y67" s="14" t="b">
        <v>0</v>
      </c>
      <c r="Z67" s="7" t="s">
        <v>71</v>
      </c>
      <c r="AA67" s="7" t="s">
        <v>72</v>
      </c>
    </row>
    <row r="68" spans="1:27">
      <c r="A68" s="7">
        <v>8</v>
      </c>
      <c r="B68" s="7">
        <v>22</v>
      </c>
      <c r="C68" s="7" t="s">
        <v>26</v>
      </c>
      <c r="D68" s="7" t="s">
        <v>27</v>
      </c>
      <c r="E68" s="7" t="s">
        <v>25</v>
      </c>
      <c r="F68" s="7" t="s">
        <v>70</v>
      </c>
      <c r="G68" s="16">
        <v>0.20673829575525648</v>
      </c>
      <c r="H68" s="16">
        <v>2.4808595490630778</v>
      </c>
      <c r="I68" s="16">
        <v>12</v>
      </c>
      <c r="J68" s="16" t="e">
        <f t="shared" ca="1" si="3"/>
        <v>#NAME?</v>
      </c>
      <c r="K68" s="8" t="e">
        <f t="shared" ca="1" si="4"/>
        <v>#NAME?</v>
      </c>
      <c r="L68" s="7" t="e">
        <f ca="1">K68&lt;=Rules!$B$5</f>
        <v>#NAME?</v>
      </c>
      <c r="M68" s="12"/>
      <c r="N68" s="12"/>
      <c r="O68" s="12"/>
      <c r="P68" s="12"/>
      <c r="Q68" s="12">
        <v>-6216.7330000000002</v>
      </c>
      <c r="R68" s="12">
        <v>0.50900000000001455</v>
      </c>
      <c r="S68" s="7">
        <v>1</v>
      </c>
      <c r="T68" s="12">
        <v>0.50900000000001455</v>
      </c>
      <c r="U68" s="12">
        <v>0.50900000000001455</v>
      </c>
      <c r="V68" s="7" t="b">
        <f>T68&lt;=Rules!$B$4</f>
        <v>1</v>
      </c>
      <c r="W68" s="7" t="e">
        <f t="shared" ca="1" si="5"/>
        <v>#NAME?</v>
      </c>
      <c r="X68" s="7">
        <v>1</v>
      </c>
      <c r="Y68" s="14" t="b">
        <v>0</v>
      </c>
      <c r="Z68" s="7" t="s">
        <v>71</v>
      </c>
      <c r="AA68" s="7" t="s">
        <v>72</v>
      </c>
    </row>
    <row r="69" spans="1:27">
      <c r="A69" s="7">
        <v>9</v>
      </c>
      <c r="B69" s="7">
        <v>22</v>
      </c>
      <c r="C69" s="7" t="s">
        <v>26</v>
      </c>
      <c r="D69" s="7" t="s">
        <v>27</v>
      </c>
      <c r="E69" s="7" t="s">
        <v>25</v>
      </c>
      <c r="F69" s="7" t="s">
        <v>70</v>
      </c>
      <c r="G69" s="16">
        <v>0.19958976644986481</v>
      </c>
      <c r="H69" s="16">
        <v>2.3950771973983778</v>
      </c>
      <c r="I69" s="16">
        <v>12</v>
      </c>
      <c r="J69" s="16" t="e">
        <f t="shared" ref="J69:J100" ca="1" si="6">_xludf.MINIFS($G$5:$G$168,$A$5:$A$168,A69,$B$5:$B$168,B69)</f>
        <v>#NAME?</v>
      </c>
      <c r="K69" s="8" t="e">
        <f t="shared" ref="K69:K100" ca="1" si="7">IF(J69=0,0,(G69-J69)/J69)</f>
        <v>#NAME?</v>
      </c>
      <c r="L69" s="7" t="e">
        <f ca="1">K69&lt;=Rules!$B$5</f>
        <v>#NAME?</v>
      </c>
      <c r="M69" s="12"/>
      <c r="N69" s="12"/>
      <c r="O69" s="12">
        <v>-5821.4449999999997</v>
      </c>
      <c r="P69" s="12">
        <v>7.3800000000001091</v>
      </c>
      <c r="Q69" s="12"/>
      <c r="R69" s="12"/>
      <c r="S69" s="7">
        <v>1</v>
      </c>
      <c r="T69" s="12">
        <v>7.3800000000001091</v>
      </c>
      <c r="U69" s="12">
        <v>7.3800000000001091</v>
      </c>
      <c r="V69" s="7" t="b">
        <f>T69&lt;=Rules!$B$4</f>
        <v>0</v>
      </c>
      <c r="W69" s="7" t="e">
        <f t="shared" ref="W69:W100" ca="1" si="8">AND(L69,V69)</f>
        <v>#NAME?</v>
      </c>
      <c r="X69" s="7">
        <v>1</v>
      </c>
      <c r="Y69" s="14" t="b">
        <v>1</v>
      </c>
      <c r="Z69" s="7" t="s">
        <v>42</v>
      </c>
      <c r="AA69" s="7" t="s">
        <v>43</v>
      </c>
    </row>
    <row r="70" spans="1:27">
      <c r="A70" s="7">
        <v>9</v>
      </c>
      <c r="B70" s="7">
        <v>22</v>
      </c>
      <c r="C70" s="7" t="s">
        <v>30</v>
      </c>
      <c r="D70" s="7" t="s">
        <v>31</v>
      </c>
      <c r="E70" s="7" t="s">
        <v>25</v>
      </c>
      <c r="F70" s="7" t="s">
        <v>70</v>
      </c>
      <c r="G70" s="16">
        <v>0.20180281367017527</v>
      </c>
      <c r="H70" s="16">
        <v>2.4216337640421033</v>
      </c>
      <c r="I70" s="16">
        <v>12</v>
      </c>
      <c r="J70" s="16" t="e">
        <f t="shared" ca="1" si="6"/>
        <v>#NAME?</v>
      </c>
      <c r="K70" s="8" t="e">
        <f t="shared" ca="1" si="7"/>
        <v>#NAME?</v>
      </c>
      <c r="L70" s="7" t="e">
        <f ca="1">K70&lt;=Rules!$B$5</f>
        <v>#NAME?</v>
      </c>
      <c r="M70" s="12"/>
      <c r="N70" s="12"/>
      <c r="O70" s="12">
        <v>-5828.8249999999998</v>
      </c>
      <c r="P70" s="12">
        <v>0</v>
      </c>
      <c r="Q70" s="12"/>
      <c r="R70" s="12"/>
      <c r="S70" s="7">
        <v>1</v>
      </c>
      <c r="T70" s="12">
        <v>0</v>
      </c>
      <c r="U70" s="12">
        <v>0</v>
      </c>
      <c r="V70" s="7" t="b">
        <f>T70&lt;=Rules!$B$4</f>
        <v>1</v>
      </c>
      <c r="W70" s="7" t="e">
        <f t="shared" ca="1" si="8"/>
        <v>#NAME?</v>
      </c>
      <c r="X70" s="7">
        <v>3</v>
      </c>
      <c r="Y70" s="14" t="b">
        <v>0</v>
      </c>
      <c r="Z70" s="7" t="s">
        <v>71</v>
      </c>
      <c r="AA70" s="7" t="s">
        <v>72</v>
      </c>
    </row>
    <row r="71" spans="1:27">
      <c r="A71" s="7">
        <v>9</v>
      </c>
      <c r="B71" s="7">
        <v>22</v>
      </c>
      <c r="C71" s="7" t="s">
        <v>47</v>
      </c>
      <c r="D71" s="7" t="s">
        <v>48</v>
      </c>
      <c r="E71" s="7" t="s">
        <v>25</v>
      </c>
      <c r="F71" s="7" t="s">
        <v>70</v>
      </c>
      <c r="G71" s="16">
        <v>0.20194008716666878</v>
      </c>
      <c r="H71" s="16">
        <v>2.4232810460000254</v>
      </c>
      <c r="I71" s="16">
        <v>12</v>
      </c>
      <c r="J71" s="16" t="e">
        <f t="shared" ca="1" si="6"/>
        <v>#NAME?</v>
      </c>
      <c r="K71" s="8" t="e">
        <f t="shared" ca="1" si="7"/>
        <v>#NAME?</v>
      </c>
      <c r="L71" s="7" t="e">
        <f ca="1">K71&lt;=Rules!$B$5</f>
        <v>#NAME?</v>
      </c>
      <c r="M71" s="12"/>
      <c r="N71" s="12"/>
      <c r="O71" s="12"/>
      <c r="P71" s="12"/>
      <c r="Q71" s="12">
        <v>-5834.7139999999999</v>
      </c>
      <c r="R71" s="12">
        <v>0</v>
      </c>
      <c r="S71" s="7">
        <v>1</v>
      </c>
      <c r="T71" s="12">
        <v>0</v>
      </c>
      <c r="U71" s="12">
        <v>0</v>
      </c>
      <c r="V71" s="7" t="b">
        <f>T71&lt;=Rules!$B$4</f>
        <v>1</v>
      </c>
      <c r="W71" s="7" t="e">
        <f t="shared" ca="1" si="8"/>
        <v>#NAME?</v>
      </c>
      <c r="X71" s="7">
        <v>3</v>
      </c>
      <c r="Y71" s="14" t="b">
        <v>0</v>
      </c>
      <c r="Z71" s="7" t="s">
        <v>71</v>
      </c>
      <c r="AA71" s="7" t="s">
        <v>72</v>
      </c>
    </row>
    <row r="72" spans="1:27">
      <c r="A72" s="7">
        <v>9</v>
      </c>
      <c r="B72" s="7">
        <v>22</v>
      </c>
      <c r="C72" s="7" t="s">
        <v>84</v>
      </c>
      <c r="D72" s="7" t="s">
        <v>85</v>
      </c>
      <c r="E72" s="7" t="s">
        <v>25</v>
      </c>
      <c r="F72" s="7" t="s">
        <v>70</v>
      </c>
      <c r="G72" s="16">
        <v>0.20233806788126693</v>
      </c>
      <c r="H72" s="16">
        <v>2.4280568145752031</v>
      </c>
      <c r="I72" s="16">
        <v>12</v>
      </c>
      <c r="J72" s="16" t="e">
        <f t="shared" ca="1" si="6"/>
        <v>#NAME?</v>
      </c>
      <c r="K72" s="8" t="e">
        <f t="shared" ca="1" si="7"/>
        <v>#NAME?</v>
      </c>
      <c r="L72" s="7" t="e">
        <f ca="1">K72&lt;=Rules!$B$5</f>
        <v>#NAME?</v>
      </c>
      <c r="M72" s="12">
        <v>-5830.9520000000002</v>
      </c>
      <c r="N72" s="12">
        <v>0</v>
      </c>
      <c r="O72" s="12"/>
      <c r="P72" s="12"/>
      <c r="Q72" s="12"/>
      <c r="R72" s="12"/>
      <c r="S72" s="7">
        <v>1</v>
      </c>
      <c r="T72" s="12">
        <v>0</v>
      </c>
      <c r="U72" s="12">
        <v>0</v>
      </c>
      <c r="V72" s="7" t="b">
        <f>T72&lt;=Rules!$B$4</f>
        <v>1</v>
      </c>
      <c r="W72" s="7" t="e">
        <f t="shared" ca="1" si="8"/>
        <v>#NAME?</v>
      </c>
      <c r="X72" s="7">
        <v>4</v>
      </c>
      <c r="Y72" s="14" t="b">
        <v>0</v>
      </c>
      <c r="Z72" s="7" t="s">
        <v>71</v>
      </c>
      <c r="AA72" s="7" t="s">
        <v>72</v>
      </c>
    </row>
    <row r="73" spans="1:27">
      <c r="A73" s="7">
        <v>10</v>
      </c>
      <c r="B73" s="7">
        <v>22</v>
      </c>
      <c r="C73" s="7" t="s">
        <v>32</v>
      </c>
      <c r="D73" s="7" t="s">
        <v>33</v>
      </c>
      <c r="E73" s="7" t="s">
        <v>25</v>
      </c>
      <c r="F73" s="7" t="s">
        <v>70</v>
      </c>
      <c r="G73" s="16">
        <v>0.1219848497445063</v>
      </c>
      <c r="H73" s="16">
        <v>1.4638181969340756</v>
      </c>
      <c r="I73" s="16">
        <v>12</v>
      </c>
      <c r="J73" s="16" t="e">
        <f t="shared" ca="1" si="6"/>
        <v>#NAME?</v>
      </c>
      <c r="K73" s="8" t="e">
        <f t="shared" ca="1" si="7"/>
        <v>#NAME?</v>
      </c>
      <c r="L73" s="7" t="e">
        <f ca="1">K73&lt;=Rules!$B$5</f>
        <v>#NAME?</v>
      </c>
      <c r="M73" s="12">
        <v>-4245.5609999999997</v>
      </c>
      <c r="N73" s="12">
        <v>0</v>
      </c>
      <c r="O73" s="12">
        <v>-4241.2579999999998</v>
      </c>
      <c r="P73" s="12">
        <v>0.12899999999990541</v>
      </c>
      <c r="Q73" s="12">
        <v>-4258.7700000000004</v>
      </c>
      <c r="R73" s="12">
        <v>0</v>
      </c>
      <c r="S73" s="7">
        <v>3</v>
      </c>
      <c r="T73" s="12">
        <v>0</v>
      </c>
      <c r="U73" s="12">
        <v>0.12899999999990541</v>
      </c>
      <c r="V73" s="7" t="b">
        <f>T73&lt;=Rules!$B$4</f>
        <v>1</v>
      </c>
      <c r="W73" s="7" t="e">
        <f t="shared" ca="1" si="8"/>
        <v>#NAME?</v>
      </c>
      <c r="X73" s="7">
        <v>2</v>
      </c>
      <c r="Y73" s="14" t="b">
        <v>1</v>
      </c>
      <c r="Z73" s="7" t="s">
        <v>21</v>
      </c>
      <c r="AA73" s="7" t="s">
        <v>22</v>
      </c>
    </row>
    <row r="74" spans="1:27">
      <c r="A74" s="7">
        <v>10</v>
      </c>
      <c r="B74" s="7">
        <v>22</v>
      </c>
      <c r="C74" s="7" t="s">
        <v>49</v>
      </c>
      <c r="D74" s="7" t="s">
        <v>33</v>
      </c>
      <c r="E74" s="7" t="s">
        <v>40</v>
      </c>
      <c r="F74" s="7" t="s">
        <v>69</v>
      </c>
      <c r="G74" s="16">
        <v>0.12209426273499058</v>
      </c>
      <c r="H74" s="16">
        <v>1.4651311528198869</v>
      </c>
      <c r="I74" s="16">
        <v>12</v>
      </c>
      <c r="J74" s="16" t="e">
        <f t="shared" ca="1" si="6"/>
        <v>#NAME?</v>
      </c>
      <c r="K74" s="8" t="e">
        <f t="shared" ca="1" si="7"/>
        <v>#NAME?</v>
      </c>
      <c r="L74" s="7" t="e">
        <f ca="1">K74&lt;=Rules!$B$5</f>
        <v>#NAME?</v>
      </c>
      <c r="M74" s="12"/>
      <c r="N74" s="12"/>
      <c r="O74" s="12">
        <v>-4241.3869999999997</v>
      </c>
      <c r="P74" s="12">
        <v>0</v>
      </c>
      <c r="Q74" s="12"/>
      <c r="R74" s="12"/>
      <c r="S74" s="7">
        <v>1</v>
      </c>
      <c r="T74" s="12">
        <v>0</v>
      </c>
      <c r="U74" s="12">
        <v>0</v>
      </c>
      <c r="V74" s="7" t="b">
        <f>T74&lt;=Rules!$B$4</f>
        <v>1</v>
      </c>
      <c r="W74" s="7" t="e">
        <f t="shared" ca="1" si="8"/>
        <v>#NAME?</v>
      </c>
      <c r="X74" s="7">
        <v>4</v>
      </c>
      <c r="Y74" s="14" t="b">
        <v>0</v>
      </c>
      <c r="Z74" s="7" t="s">
        <v>71</v>
      </c>
      <c r="AA74" s="7" t="s">
        <v>72</v>
      </c>
    </row>
    <row r="75" spans="1:27">
      <c r="A75" s="7">
        <v>11</v>
      </c>
      <c r="B75" s="7">
        <v>22</v>
      </c>
      <c r="C75" s="7" t="s">
        <v>18</v>
      </c>
      <c r="D75" s="7" t="s">
        <v>19</v>
      </c>
      <c r="E75" s="7" t="s">
        <v>20</v>
      </c>
      <c r="F75" s="7" t="s">
        <v>69</v>
      </c>
      <c r="G75" s="16">
        <v>0.44193960068621818</v>
      </c>
      <c r="H75" s="16">
        <v>5.3032752082346182</v>
      </c>
      <c r="I75" s="16">
        <v>12</v>
      </c>
      <c r="J75" s="16" t="e">
        <f t="shared" ca="1" si="6"/>
        <v>#NAME?</v>
      </c>
      <c r="K75" s="8" t="e">
        <f t="shared" ca="1" si="7"/>
        <v>#NAME?</v>
      </c>
      <c r="L75" s="7" t="e">
        <f ca="1">K75&lt;=Rules!$B$5</f>
        <v>#NAME?</v>
      </c>
      <c r="M75" s="12"/>
      <c r="N75" s="12"/>
      <c r="O75" s="12">
        <v>-4970.1469999999999</v>
      </c>
      <c r="P75" s="12">
        <v>0</v>
      </c>
      <c r="Q75" s="12"/>
      <c r="R75" s="12"/>
      <c r="S75" s="7">
        <v>1</v>
      </c>
      <c r="T75" s="12">
        <v>0</v>
      </c>
      <c r="U75" s="12">
        <v>0</v>
      </c>
      <c r="V75" s="7" t="b">
        <f>T75&lt;=Rules!$B$4</f>
        <v>1</v>
      </c>
      <c r="W75" s="7" t="e">
        <f t="shared" ca="1" si="8"/>
        <v>#NAME?</v>
      </c>
      <c r="X75" s="7">
        <v>4</v>
      </c>
      <c r="Y75" s="14" t="b">
        <v>1</v>
      </c>
      <c r="Z75" s="7" t="s">
        <v>21</v>
      </c>
      <c r="AA75" s="7" t="s">
        <v>22</v>
      </c>
    </row>
    <row r="76" spans="1:27">
      <c r="A76" s="7">
        <v>11</v>
      </c>
      <c r="B76" s="7">
        <v>22</v>
      </c>
      <c r="C76" s="7" t="s">
        <v>86</v>
      </c>
      <c r="D76" s="7" t="s">
        <v>24</v>
      </c>
      <c r="E76" s="7" t="s">
        <v>35</v>
      </c>
      <c r="F76" s="7" t="s">
        <v>69</v>
      </c>
      <c r="G76" s="16">
        <v>0.49215034297856031</v>
      </c>
      <c r="H76" s="16">
        <v>5.9058041157427237</v>
      </c>
      <c r="I76" s="16">
        <v>12</v>
      </c>
      <c r="J76" s="16" t="e">
        <f t="shared" ca="1" si="6"/>
        <v>#NAME?</v>
      </c>
      <c r="K76" s="8" t="e">
        <f t="shared" ca="1" si="7"/>
        <v>#NAME?</v>
      </c>
      <c r="L76" s="7" t="e">
        <f ca="1">K76&lt;=Rules!$B$5</f>
        <v>#NAME?</v>
      </c>
      <c r="M76" s="12"/>
      <c r="N76" s="12"/>
      <c r="O76" s="12"/>
      <c r="P76" s="12"/>
      <c r="Q76" s="12">
        <v>-4971.1440000000002</v>
      </c>
      <c r="R76" s="12">
        <v>0</v>
      </c>
      <c r="S76" s="7">
        <v>1</v>
      </c>
      <c r="T76" s="12">
        <v>0</v>
      </c>
      <c r="U76" s="12">
        <v>0</v>
      </c>
      <c r="V76" s="7" t="b">
        <f>T76&lt;=Rules!$B$4</f>
        <v>1</v>
      </c>
      <c r="W76" s="7" t="e">
        <f t="shared" ca="1" si="8"/>
        <v>#NAME?</v>
      </c>
      <c r="X76" s="7">
        <v>3</v>
      </c>
      <c r="Y76" s="14" t="b">
        <v>0</v>
      </c>
      <c r="Z76" s="7" t="s">
        <v>71</v>
      </c>
      <c r="AA76" s="7" t="s">
        <v>72</v>
      </c>
    </row>
    <row r="77" spans="1:27">
      <c r="A77" s="7">
        <v>11</v>
      </c>
      <c r="B77" s="7">
        <v>22</v>
      </c>
      <c r="C77" s="7" t="s">
        <v>23</v>
      </c>
      <c r="D77" s="7" t="s">
        <v>24</v>
      </c>
      <c r="E77" s="7" t="s">
        <v>25</v>
      </c>
      <c r="F77" s="7" t="s">
        <v>70</v>
      </c>
      <c r="G77" s="16">
        <v>0.49801682750291171</v>
      </c>
      <c r="H77" s="16">
        <v>5.9762019300349403</v>
      </c>
      <c r="I77" s="16">
        <v>12</v>
      </c>
      <c r="J77" s="16" t="e">
        <f t="shared" ca="1" si="6"/>
        <v>#NAME?</v>
      </c>
      <c r="K77" s="8" t="e">
        <f t="shared" ca="1" si="7"/>
        <v>#NAME?</v>
      </c>
      <c r="L77" s="7" t="e">
        <f ca="1">K77&lt;=Rules!$B$5</f>
        <v>#NAME?</v>
      </c>
      <c r="M77" s="12">
        <v>-4965.8649999999998</v>
      </c>
      <c r="N77" s="12">
        <v>6.2640000000001237</v>
      </c>
      <c r="O77" s="12">
        <v>-4964.0249999999996</v>
      </c>
      <c r="P77" s="12">
        <v>6.1220000000002983</v>
      </c>
      <c r="Q77" s="12">
        <v>-4968.1850000000004</v>
      </c>
      <c r="R77" s="12">
        <v>2.9589999999998327</v>
      </c>
      <c r="S77" s="7">
        <v>3</v>
      </c>
      <c r="T77" s="12">
        <v>6.1220000000002983</v>
      </c>
      <c r="U77" s="12">
        <v>6.2640000000001237</v>
      </c>
      <c r="V77" s="7" t="b">
        <f>T77&lt;=Rules!$B$4</f>
        <v>0</v>
      </c>
      <c r="W77" s="7" t="e">
        <f t="shared" ca="1" si="8"/>
        <v>#NAME?</v>
      </c>
      <c r="X77" s="7">
        <v>2</v>
      </c>
      <c r="Y77" s="14" t="b">
        <v>0</v>
      </c>
      <c r="Z77" s="7" t="s">
        <v>71</v>
      </c>
      <c r="AA77" s="7" t="s">
        <v>72</v>
      </c>
    </row>
    <row r="78" spans="1:27">
      <c r="A78" s="7">
        <v>11</v>
      </c>
      <c r="B78" s="7">
        <v>22</v>
      </c>
      <c r="C78" s="7" t="s">
        <v>34</v>
      </c>
      <c r="D78" s="7" t="s">
        <v>19</v>
      </c>
      <c r="E78" s="7" t="s">
        <v>35</v>
      </c>
      <c r="F78" s="7" t="s">
        <v>69</v>
      </c>
      <c r="G78" s="16">
        <v>0.5068711443292897</v>
      </c>
      <c r="H78" s="16">
        <v>6.0824537319514764</v>
      </c>
      <c r="I78" s="16">
        <v>12</v>
      </c>
      <c r="J78" s="16" t="e">
        <f t="shared" ca="1" si="6"/>
        <v>#NAME?</v>
      </c>
      <c r="K78" s="8" t="e">
        <f t="shared" ca="1" si="7"/>
        <v>#NAME?</v>
      </c>
      <c r="L78" s="7" t="e">
        <f ca="1">K78&lt;=Rules!$B$5</f>
        <v>#NAME?</v>
      </c>
      <c r="M78" s="12">
        <v>-4972.1289999999999</v>
      </c>
      <c r="N78" s="12">
        <v>0</v>
      </c>
      <c r="O78" s="12"/>
      <c r="P78" s="12"/>
      <c r="Q78" s="12"/>
      <c r="R78" s="12"/>
      <c r="S78" s="7">
        <v>1</v>
      </c>
      <c r="T78" s="12">
        <v>0</v>
      </c>
      <c r="U78" s="12">
        <v>0</v>
      </c>
      <c r="V78" s="7" t="b">
        <f>T78&lt;=Rules!$B$4</f>
        <v>1</v>
      </c>
      <c r="W78" s="7" t="e">
        <f t="shared" ca="1" si="8"/>
        <v>#NAME?</v>
      </c>
      <c r="X78" s="7">
        <v>4</v>
      </c>
      <c r="Y78" s="14" t="b">
        <v>0</v>
      </c>
      <c r="Z78" s="7" t="s">
        <v>71</v>
      </c>
      <c r="AA78" s="7" t="s">
        <v>72</v>
      </c>
    </row>
    <row r="79" spans="1:27">
      <c r="A79" s="7">
        <v>12</v>
      </c>
      <c r="B79" s="7">
        <v>22</v>
      </c>
      <c r="C79" s="7" t="s">
        <v>44</v>
      </c>
      <c r="D79" s="7" t="s">
        <v>45</v>
      </c>
      <c r="E79" s="7" t="s">
        <v>25</v>
      </c>
      <c r="F79" s="7" t="s">
        <v>70</v>
      </c>
      <c r="G79" s="16">
        <v>1.2108263185232941</v>
      </c>
      <c r="H79" s="16">
        <v>14.529915822279531</v>
      </c>
      <c r="I79" s="16">
        <v>12</v>
      </c>
      <c r="J79" s="16" t="e">
        <f t="shared" ca="1" si="6"/>
        <v>#NAME?</v>
      </c>
      <c r="K79" s="8" t="e">
        <f t="shared" ca="1" si="7"/>
        <v>#NAME?</v>
      </c>
      <c r="L79" s="7" t="e">
        <f ca="1">K79&lt;=Rules!$B$5</f>
        <v>#NAME?</v>
      </c>
      <c r="M79" s="12"/>
      <c r="N79" s="12"/>
      <c r="O79" s="12"/>
      <c r="P79" s="12"/>
      <c r="Q79" s="12">
        <v>-7119.6549999999997</v>
      </c>
      <c r="R79" s="12">
        <v>0</v>
      </c>
      <c r="S79" s="7">
        <v>1</v>
      </c>
      <c r="T79" s="12">
        <v>0</v>
      </c>
      <c r="U79" s="12">
        <v>0</v>
      </c>
      <c r="V79" s="7" t="b">
        <f>T79&lt;=Rules!$B$4</f>
        <v>1</v>
      </c>
      <c r="W79" s="7" t="e">
        <f t="shared" ca="1" si="8"/>
        <v>#NAME?</v>
      </c>
      <c r="X79" s="7">
        <v>3</v>
      </c>
      <c r="Y79" s="14" t="b">
        <v>1</v>
      </c>
      <c r="Z79" s="7" t="s">
        <v>21</v>
      </c>
      <c r="AA79" s="7" t="s">
        <v>22</v>
      </c>
    </row>
    <row r="80" spans="1:27">
      <c r="A80" s="7">
        <v>12</v>
      </c>
      <c r="B80" s="7">
        <v>22</v>
      </c>
      <c r="C80" s="7" t="s">
        <v>50</v>
      </c>
      <c r="D80" s="7" t="s">
        <v>51</v>
      </c>
      <c r="E80" s="7" t="s">
        <v>25</v>
      </c>
      <c r="F80" s="7" t="s">
        <v>70</v>
      </c>
      <c r="G80" s="16">
        <v>1.2764348410440041</v>
      </c>
      <c r="H80" s="16">
        <v>15.317218092528048</v>
      </c>
      <c r="I80" s="16">
        <v>12</v>
      </c>
      <c r="J80" s="16" t="e">
        <f t="shared" ca="1" si="6"/>
        <v>#NAME?</v>
      </c>
      <c r="K80" s="8" t="e">
        <f t="shared" ca="1" si="7"/>
        <v>#NAME?</v>
      </c>
      <c r="L80" s="7" t="e">
        <f ca="1">K80&lt;=Rules!$B$5</f>
        <v>#NAME?</v>
      </c>
      <c r="M80" s="12">
        <v>-7087.9930000000004</v>
      </c>
      <c r="N80" s="12">
        <v>1.2669999999998254</v>
      </c>
      <c r="O80" s="12">
        <v>-7081.2740000000003</v>
      </c>
      <c r="P80" s="12">
        <v>0.84699999999975262</v>
      </c>
      <c r="Q80" s="12"/>
      <c r="R80" s="12"/>
      <c r="S80" s="7">
        <v>2</v>
      </c>
      <c r="T80" s="12">
        <v>1.056999999999789</v>
      </c>
      <c r="U80" s="12">
        <v>1.2669999999998254</v>
      </c>
      <c r="V80" s="7" t="b">
        <f>T80&lt;=Rules!$B$4</f>
        <v>1</v>
      </c>
      <c r="W80" s="7" t="e">
        <f t="shared" ca="1" si="8"/>
        <v>#NAME?</v>
      </c>
      <c r="X80" s="7">
        <v>4</v>
      </c>
      <c r="Y80" s="14" t="b">
        <v>0</v>
      </c>
      <c r="Z80" s="7" t="s">
        <v>71</v>
      </c>
      <c r="AA80" s="7" t="s">
        <v>72</v>
      </c>
    </row>
    <row r="81" spans="1:27">
      <c r="A81" s="7">
        <v>12</v>
      </c>
      <c r="B81" s="7">
        <v>22</v>
      </c>
      <c r="C81" s="7" t="s">
        <v>36</v>
      </c>
      <c r="D81" s="7" t="s">
        <v>37</v>
      </c>
      <c r="E81" s="7" t="s">
        <v>25</v>
      </c>
      <c r="F81" s="7" t="s">
        <v>70</v>
      </c>
      <c r="G81" s="16">
        <v>1.296698658319656</v>
      </c>
      <c r="H81" s="16">
        <v>15.560383899835873</v>
      </c>
      <c r="I81" s="16">
        <v>12</v>
      </c>
      <c r="J81" s="16" t="e">
        <f t="shared" ca="1" si="6"/>
        <v>#NAME?</v>
      </c>
      <c r="K81" s="8" t="e">
        <f t="shared" ca="1" si="7"/>
        <v>#NAME?</v>
      </c>
      <c r="L81" s="7" t="e">
        <f ca="1">K81&lt;=Rules!$B$5</f>
        <v>#NAME?</v>
      </c>
      <c r="M81" s="12">
        <v>-7089.26</v>
      </c>
      <c r="N81" s="12">
        <v>0</v>
      </c>
      <c r="O81" s="12">
        <v>-7082.1210000000001</v>
      </c>
      <c r="P81" s="12">
        <v>0</v>
      </c>
      <c r="Q81" s="12">
        <v>-7113.1620000000003</v>
      </c>
      <c r="R81" s="12">
        <v>6.4929999999994834</v>
      </c>
      <c r="S81" s="7">
        <v>3</v>
      </c>
      <c r="T81" s="12">
        <v>0</v>
      </c>
      <c r="U81" s="12">
        <v>6.4929999999994834</v>
      </c>
      <c r="V81" s="7" t="b">
        <f>T81&lt;=Rules!$B$4</f>
        <v>1</v>
      </c>
      <c r="W81" s="7" t="e">
        <f t="shared" ca="1" si="8"/>
        <v>#NAME?</v>
      </c>
      <c r="X81" s="7">
        <v>5</v>
      </c>
      <c r="Y81" s="14" t="b">
        <v>0</v>
      </c>
      <c r="Z81" s="7" t="s">
        <v>71</v>
      </c>
      <c r="AA81" s="7" t="s">
        <v>72</v>
      </c>
    </row>
    <row r="82" spans="1:27">
      <c r="A82" s="7">
        <v>13</v>
      </c>
      <c r="B82" s="7">
        <v>22</v>
      </c>
      <c r="C82" s="7" t="s">
        <v>87</v>
      </c>
      <c r="D82" s="7" t="s">
        <v>88</v>
      </c>
      <c r="E82" s="7" t="s">
        <v>89</v>
      </c>
      <c r="F82" s="7" t="s">
        <v>69</v>
      </c>
      <c r="G82" s="16">
        <v>1.8283334829996676</v>
      </c>
      <c r="H82" s="16">
        <v>21.940001795996011</v>
      </c>
      <c r="I82" s="16">
        <v>12</v>
      </c>
      <c r="J82" s="16" t="e">
        <f t="shared" ca="1" si="6"/>
        <v>#NAME?</v>
      </c>
      <c r="K82" s="8" t="e">
        <f t="shared" ca="1" si="7"/>
        <v>#NAME?</v>
      </c>
      <c r="L82" s="7" t="e">
        <f ca="1">K82&lt;=Rules!$B$5</f>
        <v>#NAME?</v>
      </c>
      <c r="M82" s="12">
        <v>-2477.2660000000001</v>
      </c>
      <c r="N82" s="12">
        <v>0</v>
      </c>
      <c r="O82" s="12"/>
      <c r="P82" s="12"/>
      <c r="Q82" s="12"/>
      <c r="R82" s="12"/>
      <c r="S82" s="7">
        <v>1</v>
      </c>
      <c r="T82" s="12">
        <v>0</v>
      </c>
      <c r="U82" s="12">
        <v>0</v>
      </c>
      <c r="V82" s="7" t="b">
        <f>T82&lt;=Rules!$B$4</f>
        <v>1</v>
      </c>
      <c r="W82" s="7" t="e">
        <f t="shared" ca="1" si="8"/>
        <v>#NAME?</v>
      </c>
      <c r="X82" s="7">
        <v>8</v>
      </c>
      <c r="Y82" s="14" t="b">
        <v>0</v>
      </c>
      <c r="Z82" s="7" t="s">
        <v>71</v>
      </c>
      <c r="AA82" s="7" t="s">
        <v>72</v>
      </c>
    </row>
    <row r="83" spans="1:27">
      <c r="A83" s="7">
        <v>13</v>
      </c>
      <c r="B83" s="7">
        <v>22</v>
      </c>
      <c r="C83" s="7" t="s">
        <v>90</v>
      </c>
      <c r="D83" s="7" t="s">
        <v>91</v>
      </c>
      <c r="E83" s="7" t="s">
        <v>25</v>
      </c>
      <c r="F83" s="7" t="s">
        <v>70</v>
      </c>
      <c r="G83" s="16">
        <v>1.8307579847055118</v>
      </c>
      <c r="H83" s="16">
        <v>21.96909581646614</v>
      </c>
      <c r="I83" s="16">
        <v>12</v>
      </c>
      <c r="J83" s="16" t="e">
        <f t="shared" ca="1" si="6"/>
        <v>#NAME?</v>
      </c>
      <c r="K83" s="8" t="e">
        <f t="shared" ca="1" si="7"/>
        <v>#NAME?</v>
      </c>
      <c r="L83" s="7" t="e">
        <f ca="1">K83&lt;=Rules!$B$5</f>
        <v>#NAME?</v>
      </c>
      <c r="M83" s="12"/>
      <c r="N83" s="12"/>
      <c r="O83" s="12"/>
      <c r="P83" s="12"/>
      <c r="Q83" s="12">
        <v>-2491.09</v>
      </c>
      <c r="R83" s="12">
        <v>4.3329999999996289</v>
      </c>
      <c r="S83" s="7">
        <v>1</v>
      </c>
      <c r="T83" s="12">
        <v>4.3329999999996289</v>
      </c>
      <c r="U83" s="12">
        <v>4.3329999999996289</v>
      </c>
      <c r="V83" s="7" t="b">
        <f>T83&lt;=Rules!$B$4</f>
        <v>0</v>
      </c>
      <c r="W83" s="7" t="e">
        <f t="shared" ca="1" si="8"/>
        <v>#NAME?</v>
      </c>
      <c r="X83" s="7">
        <v>5</v>
      </c>
      <c r="Y83" s="14" t="b">
        <v>0</v>
      </c>
      <c r="Z83" s="7" t="s">
        <v>71</v>
      </c>
      <c r="AA83" s="7" t="s">
        <v>72</v>
      </c>
    </row>
    <row r="84" spans="1:27">
      <c r="A84" s="7">
        <v>13</v>
      </c>
      <c r="B84" s="7">
        <v>22</v>
      </c>
      <c r="C84" s="7" t="s">
        <v>38</v>
      </c>
      <c r="D84" s="7" t="s">
        <v>39</v>
      </c>
      <c r="E84" s="7" t="s">
        <v>40</v>
      </c>
      <c r="F84" s="7" t="s">
        <v>69</v>
      </c>
      <c r="G84" s="16">
        <v>1.8312958445882925</v>
      </c>
      <c r="H84" s="16">
        <v>21.97555013505951</v>
      </c>
      <c r="I84" s="16">
        <v>12</v>
      </c>
      <c r="J84" s="16" t="e">
        <f t="shared" ca="1" si="6"/>
        <v>#NAME?</v>
      </c>
      <c r="K84" s="8" t="e">
        <f t="shared" ca="1" si="7"/>
        <v>#NAME?</v>
      </c>
      <c r="L84" s="7" t="e">
        <f ca="1">K84&lt;=Rules!$B$5</f>
        <v>#NAME?</v>
      </c>
      <c r="M84" s="12"/>
      <c r="N84" s="12"/>
      <c r="O84" s="12">
        <v>-2467.8989999999999</v>
      </c>
      <c r="P84" s="12">
        <v>0</v>
      </c>
      <c r="Q84" s="12"/>
      <c r="R84" s="12"/>
      <c r="S84" s="7">
        <v>1</v>
      </c>
      <c r="T84" s="12">
        <v>0</v>
      </c>
      <c r="U84" s="12">
        <v>0</v>
      </c>
      <c r="V84" s="7" t="b">
        <f>T84&lt;=Rules!$B$4</f>
        <v>1</v>
      </c>
      <c r="W84" s="7" t="e">
        <f t="shared" ca="1" si="8"/>
        <v>#NAME?</v>
      </c>
      <c r="X84" s="7">
        <v>6</v>
      </c>
      <c r="Y84" s="14" t="b">
        <v>1</v>
      </c>
      <c r="Z84" s="7" t="s">
        <v>21</v>
      </c>
      <c r="AA84" s="7" t="s">
        <v>22</v>
      </c>
    </row>
    <row r="85" spans="1:27">
      <c r="A85" s="7">
        <v>13</v>
      </c>
      <c r="B85" s="7">
        <v>22</v>
      </c>
      <c r="C85" s="7" t="s">
        <v>92</v>
      </c>
      <c r="D85" s="7" t="s">
        <v>93</v>
      </c>
      <c r="E85" s="7" t="s">
        <v>89</v>
      </c>
      <c r="F85" s="7" t="s">
        <v>69</v>
      </c>
      <c r="G85" s="16">
        <v>1.8315826375107482</v>
      </c>
      <c r="H85" s="16">
        <v>21.978991650128979</v>
      </c>
      <c r="I85" s="16">
        <v>12</v>
      </c>
      <c r="J85" s="16" t="e">
        <f t="shared" ca="1" si="6"/>
        <v>#NAME?</v>
      </c>
      <c r="K85" s="8" t="e">
        <f t="shared" ca="1" si="7"/>
        <v>#NAME?</v>
      </c>
      <c r="L85" s="7" t="e">
        <f ca="1">K85&lt;=Rules!$B$5</f>
        <v>#NAME?</v>
      </c>
      <c r="M85" s="12"/>
      <c r="N85" s="12"/>
      <c r="O85" s="12"/>
      <c r="P85" s="12"/>
      <c r="Q85" s="12">
        <v>-2495.4229999999998</v>
      </c>
      <c r="R85" s="12">
        <v>0</v>
      </c>
      <c r="S85" s="7">
        <v>1</v>
      </c>
      <c r="T85" s="12">
        <v>0</v>
      </c>
      <c r="U85" s="12">
        <v>0</v>
      </c>
      <c r="V85" s="7" t="b">
        <f>T85&lt;=Rules!$B$4</f>
        <v>1</v>
      </c>
      <c r="W85" s="7" t="e">
        <f t="shared" ca="1" si="8"/>
        <v>#NAME?</v>
      </c>
      <c r="X85" s="7">
        <v>7</v>
      </c>
      <c r="Y85" s="14" t="b">
        <v>0</v>
      </c>
      <c r="Z85" s="7" t="s">
        <v>71</v>
      </c>
      <c r="AA85" s="7" t="s">
        <v>72</v>
      </c>
    </row>
    <row r="86" spans="1:27">
      <c r="A86" s="7">
        <v>13</v>
      </c>
      <c r="B86" s="7">
        <v>22</v>
      </c>
      <c r="C86" s="7" t="s">
        <v>47</v>
      </c>
      <c r="D86" s="7" t="s">
        <v>48</v>
      </c>
      <c r="E86" s="7" t="s">
        <v>25</v>
      </c>
      <c r="F86" s="7" t="s">
        <v>70</v>
      </c>
      <c r="G86" s="16">
        <v>1.8371128956032188</v>
      </c>
      <c r="H86" s="16">
        <v>22.045354747238626</v>
      </c>
      <c r="I86" s="16">
        <v>12</v>
      </c>
      <c r="J86" s="16" t="e">
        <f t="shared" ca="1" si="6"/>
        <v>#NAME?</v>
      </c>
      <c r="K86" s="8" t="e">
        <f t="shared" ca="1" si="7"/>
        <v>#NAME?</v>
      </c>
      <c r="L86" s="7" t="e">
        <f ca="1">K86&lt;=Rules!$B$5</f>
        <v>#NAME?</v>
      </c>
      <c r="M86" s="12">
        <v>-2466.0729999999999</v>
      </c>
      <c r="N86" s="12">
        <v>11.193000000000211</v>
      </c>
      <c r="O86" s="12">
        <v>-2462.3389999999999</v>
      </c>
      <c r="P86" s="12">
        <v>5.5599999999999454</v>
      </c>
      <c r="Q86" s="12"/>
      <c r="R86" s="12"/>
      <c r="S86" s="7">
        <v>2</v>
      </c>
      <c r="T86" s="12">
        <v>8.3765000000000782</v>
      </c>
      <c r="U86" s="12">
        <v>11.193000000000211</v>
      </c>
      <c r="V86" s="7" t="b">
        <f>T86&lt;=Rules!$B$4</f>
        <v>0</v>
      </c>
      <c r="W86" s="7" t="e">
        <f t="shared" ca="1" si="8"/>
        <v>#NAME?</v>
      </c>
      <c r="X86" s="7">
        <v>3</v>
      </c>
      <c r="Y86" s="14" t="b">
        <v>0</v>
      </c>
      <c r="Z86" s="7" t="s">
        <v>71</v>
      </c>
      <c r="AA86" s="7" t="s">
        <v>72</v>
      </c>
    </row>
    <row r="87" spans="1:27">
      <c r="A87" s="7">
        <v>1</v>
      </c>
      <c r="B87" s="7">
        <v>66</v>
      </c>
      <c r="C87" s="7" t="s">
        <v>18</v>
      </c>
      <c r="D87" s="7" t="s">
        <v>19</v>
      </c>
      <c r="E87" s="7" t="s">
        <v>20</v>
      </c>
      <c r="F87" s="7" t="s">
        <v>69</v>
      </c>
      <c r="G87" s="16">
        <v>0.11840535962003326</v>
      </c>
      <c r="H87" s="16">
        <v>0.47362143848013305</v>
      </c>
      <c r="I87" s="16">
        <v>4</v>
      </c>
      <c r="J87" s="16" t="e">
        <f t="shared" ca="1" si="6"/>
        <v>#NAME?</v>
      </c>
      <c r="K87" s="8" t="e">
        <f t="shared" ca="1" si="7"/>
        <v>#NAME?</v>
      </c>
      <c r="L87" s="7" t="e">
        <f ca="1">K87&lt;=Rules!$B$5</f>
        <v>#NAME?</v>
      </c>
      <c r="M87" s="12">
        <v>-3844.78</v>
      </c>
      <c r="N87" s="12">
        <v>0</v>
      </c>
      <c r="O87" s="12">
        <v>-3836.9679999999998</v>
      </c>
      <c r="P87" s="12">
        <v>0</v>
      </c>
      <c r="Q87" s="12">
        <v>-3858.8510000000001</v>
      </c>
      <c r="R87" s="12">
        <v>0</v>
      </c>
      <c r="S87" s="7">
        <v>3</v>
      </c>
      <c r="T87" s="12">
        <v>0</v>
      </c>
      <c r="U87" s="12">
        <v>0</v>
      </c>
      <c r="V87" s="7" t="b">
        <f>T87&lt;=Rules!$B$4</f>
        <v>1</v>
      </c>
      <c r="W87" s="7" t="e">
        <f t="shared" ca="1" si="8"/>
        <v>#NAME?</v>
      </c>
      <c r="X87" s="7">
        <v>4</v>
      </c>
      <c r="Y87" s="14" t="b">
        <v>1</v>
      </c>
      <c r="Z87" s="7" t="s">
        <v>21</v>
      </c>
      <c r="AA87" s="7" t="s">
        <v>22</v>
      </c>
    </row>
    <row r="88" spans="1:27">
      <c r="A88" s="7">
        <v>1</v>
      </c>
      <c r="B88" s="7">
        <v>66</v>
      </c>
      <c r="C88" s="7" t="s">
        <v>41</v>
      </c>
      <c r="D88" s="7" t="s">
        <v>19</v>
      </c>
      <c r="E88" s="7" t="s">
        <v>25</v>
      </c>
      <c r="F88" s="7" t="s">
        <v>70</v>
      </c>
      <c r="G88" s="16">
        <v>0.13350772024666463</v>
      </c>
      <c r="H88" s="16">
        <v>0.53403088098665852</v>
      </c>
      <c r="I88" s="16">
        <v>4</v>
      </c>
      <c r="J88" s="16" t="e">
        <f t="shared" ca="1" si="6"/>
        <v>#NAME?</v>
      </c>
      <c r="K88" s="8" t="e">
        <f t="shared" ca="1" si="7"/>
        <v>#NAME?</v>
      </c>
      <c r="L88" s="7" t="e">
        <f ca="1">K88&lt;=Rules!$B$5</f>
        <v>#NAME?</v>
      </c>
      <c r="M88" s="12">
        <v>-3842.27</v>
      </c>
      <c r="N88" s="12">
        <v>2.5100000000002183</v>
      </c>
      <c r="O88" s="12">
        <v>-3836.0250000000001</v>
      </c>
      <c r="P88" s="12">
        <v>0.94299999999975626</v>
      </c>
      <c r="Q88" s="12">
        <v>-3857.1959999999999</v>
      </c>
      <c r="R88" s="12">
        <v>1.6550000000002001</v>
      </c>
      <c r="S88" s="7">
        <v>3</v>
      </c>
      <c r="T88" s="12">
        <v>1.6550000000002001</v>
      </c>
      <c r="U88" s="12">
        <v>2.5100000000002183</v>
      </c>
      <c r="V88" s="7" t="b">
        <f>T88&lt;=Rules!$B$4</f>
        <v>1</v>
      </c>
      <c r="W88" s="7" t="e">
        <f t="shared" ca="1" si="8"/>
        <v>#NAME?</v>
      </c>
      <c r="X88" s="7">
        <v>3</v>
      </c>
      <c r="Y88" s="14" t="b">
        <v>0</v>
      </c>
      <c r="Z88" s="7" t="s">
        <v>71</v>
      </c>
      <c r="AA88" s="7" t="s">
        <v>72</v>
      </c>
    </row>
    <row r="89" spans="1:27">
      <c r="A89" s="7">
        <v>2</v>
      </c>
      <c r="B89" s="7">
        <v>66</v>
      </c>
      <c r="C89" s="7" t="s">
        <v>23</v>
      </c>
      <c r="D89" s="7" t="s">
        <v>24</v>
      </c>
      <c r="E89" s="7" t="s">
        <v>25</v>
      </c>
      <c r="F89" s="7" t="s">
        <v>70</v>
      </c>
      <c r="G89" s="16">
        <v>0.21126487747529032</v>
      </c>
      <c r="H89" s="16">
        <v>0.8450595099011613</v>
      </c>
      <c r="I89" s="16">
        <v>4</v>
      </c>
      <c r="J89" s="16" t="e">
        <f t="shared" ca="1" si="6"/>
        <v>#NAME?</v>
      </c>
      <c r="K89" s="8" t="e">
        <f t="shared" ca="1" si="7"/>
        <v>#NAME?</v>
      </c>
      <c r="L89" s="7" t="e">
        <f ca="1">K89&lt;=Rules!$B$5</f>
        <v>#NAME?</v>
      </c>
      <c r="M89" s="12">
        <v>-4426.0010000000002</v>
      </c>
      <c r="N89" s="12">
        <v>0</v>
      </c>
      <c r="O89" s="12">
        <v>-4425.0050000000001</v>
      </c>
      <c r="P89" s="12">
        <v>0</v>
      </c>
      <c r="Q89" s="12">
        <v>-4432.2709999999997</v>
      </c>
      <c r="R89" s="12">
        <v>0</v>
      </c>
      <c r="S89" s="7">
        <v>3</v>
      </c>
      <c r="T89" s="12">
        <v>0</v>
      </c>
      <c r="U89" s="12">
        <v>0</v>
      </c>
      <c r="V89" s="7" t="b">
        <f>T89&lt;=Rules!$B$4</f>
        <v>1</v>
      </c>
      <c r="W89" s="7" t="e">
        <f t="shared" ca="1" si="8"/>
        <v>#NAME?</v>
      </c>
      <c r="X89" s="7">
        <v>2</v>
      </c>
      <c r="Y89" s="14" t="b">
        <v>1</v>
      </c>
      <c r="Z89" s="7" t="s">
        <v>21</v>
      </c>
      <c r="AA89" s="7" t="s">
        <v>22</v>
      </c>
    </row>
    <row r="90" spans="1:27">
      <c r="A90" s="7">
        <v>3</v>
      </c>
      <c r="B90" s="7">
        <v>66</v>
      </c>
      <c r="C90" s="7" t="s">
        <v>23</v>
      </c>
      <c r="D90" s="7" t="s">
        <v>24</v>
      </c>
      <c r="E90" s="7" t="s">
        <v>25</v>
      </c>
      <c r="F90" s="7" t="s">
        <v>70</v>
      </c>
      <c r="G90" s="16">
        <v>0.16340872311354604</v>
      </c>
      <c r="H90" s="16">
        <v>0.65363489245418416</v>
      </c>
      <c r="I90" s="16">
        <v>4</v>
      </c>
      <c r="J90" s="16" t="e">
        <f t="shared" ca="1" si="6"/>
        <v>#NAME?</v>
      </c>
      <c r="K90" s="8" t="e">
        <f t="shared" ca="1" si="7"/>
        <v>#NAME?</v>
      </c>
      <c r="L90" s="7" t="e">
        <f ca="1">K90&lt;=Rules!$B$5</f>
        <v>#NAME?</v>
      </c>
      <c r="M90" s="12">
        <v>-4494.5609999999997</v>
      </c>
      <c r="N90" s="12">
        <v>1.4170000000003711</v>
      </c>
      <c r="O90" s="12">
        <v>-4479.2820000000002</v>
      </c>
      <c r="P90" s="12">
        <v>1.5799999999999272</v>
      </c>
      <c r="Q90" s="12">
        <v>-4529.1369999999997</v>
      </c>
      <c r="R90" s="12">
        <v>1.3800000000001091</v>
      </c>
      <c r="S90" s="7">
        <v>3</v>
      </c>
      <c r="T90" s="12">
        <v>1.4170000000003711</v>
      </c>
      <c r="U90" s="12">
        <v>1.5799999999999272</v>
      </c>
      <c r="V90" s="7" t="b">
        <f>T90&lt;=Rules!$B$4</f>
        <v>1</v>
      </c>
      <c r="W90" s="7" t="e">
        <f t="shared" ca="1" si="8"/>
        <v>#NAME?</v>
      </c>
      <c r="X90" s="7">
        <v>2</v>
      </c>
      <c r="Y90" s="14" t="b">
        <v>1</v>
      </c>
      <c r="Z90" s="7" t="s">
        <v>21</v>
      </c>
      <c r="AA90" s="7" t="s">
        <v>22</v>
      </c>
    </row>
    <row r="91" spans="1:27">
      <c r="A91" s="7">
        <v>3</v>
      </c>
      <c r="B91" s="7">
        <v>66</v>
      </c>
      <c r="C91" s="7" t="s">
        <v>73</v>
      </c>
      <c r="D91" s="7" t="s">
        <v>24</v>
      </c>
      <c r="E91" s="7" t="s">
        <v>40</v>
      </c>
      <c r="F91" s="7" t="s">
        <v>69</v>
      </c>
      <c r="G91" s="16">
        <v>0.16396346189337424</v>
      </c>
      <c r="H91" s="16">
        <v>0.65585384757349696</v>
      </c>
      <c r="I91" s="16">
        <v>4</v>
      </c>
      <c r="J91" s="16" t="e">
        <f t="shared" ca="1" si="6"/>
        <v>#NAME?</v>
      </c>
      <c r="K91" s="8" t="e">
        <f t="shared" ca="1" si="7"/>
        <v>#NAME?</v>
      </c>
      <c r="L91" s="7" t="e">
        <f ca="1">K91&lt;=Rules!$B$5</f>
        <v>#NAME?</v>
      </c>
      <c r="M91" s="12">
        <v>-4495.9780000000001</v>
      </c>
      <c r="N91" s="12">
        <v>0</v>
      </c>
      <c r="O91" s="12">
        <v>-4480.8620000000001</v>
      </c>
      <c r="P91" s="12">
        <v>0</v>
      </c>
      <c r="Q91" s="12">
        <v>-4530.5169999999998</v>
      </c>
      <c r="R91" s="12">
        <v>0</v>
      </c>
      <c r="S91" s="7">
        <v>3</v>
      </c>
      <c r="T91" s="12">
        <v>0</v>
      </c>
      <c r="U91" s="12">
        <v>0</v>
      </c>
      <c r="V91" s="7" t="b">
        <f>T91&lt;=Rules!$B$4</f>
        <v>1</v>
      </c>
      <c r="W91" s="7" t="e">
        <f t="shared" ca="1" si="8"/>
        <v>#NAME?</v>
      </c>
      <c r="X91" s="7">
        <v>4</v>
      </c>
      <c r="Y91" s="14" t="b">
        <v>0</v>
      </c>
      <c r="Z91" s="7" t="s">
        <v>71</v>
      </c>
      <c r="AA91" s="7" t="s">
        <v>72</v>
      </c>
    </row>
    <row r="92" spans="1:27">
      <c r="A92" s="7">
        <v>4</v>
      </c>
      <c r="B92" s="7">
        <v>66</v>
      </c>
      <c r="C92" s="7" t="s">
        <v>26</v>
      </c>
      <c r="D92" s="7" t="s">
        <v>27</v>
      </c>
      <c r="E92" s="7" t="s">
        <v>25</v>
      </c>
      <c r="F92" s="7" t="s">
        <v>70</v>
      </c>
      <c r="G92" s="16">
        <v>0.16683648560526174</v>
      </c>
      <c r="H92" s="16">
        <v>0.66734594242104694</v>
      </c>
      <c r="I92" s="16">
        <v>4</v>
      </c>
      <c r="J92" s="16" t="e">
        <f t="shared" ca="1" si="6"/>
        <v>#NAME?</v>
      </c>
      <c r="K92" s="8" t="e">
        <f t="shared" ca="1" si="7"/>
        <v>#NAME?</v>
      </c>
      <c r="L92" s="7" t="e">
        <f ca="1">K92&lt;=Rules!$B$5</f>
        <v>#NAME?</v>
      </c>
      <c r="M92" s="12"/>
      <c r="N92" s="12"/>
      <c r="O92" s="12"/>
      <c r="P92" s="12"/>
      <c r="Q92" s="12">
        <v>-3808.904</v>
      </c>
      <c r="R92" s="12">
        <v>0</v>
      </c>
      <c r="S92" s="7">
        <v>1</v>
      </c>
      <c r="T92" s="12">
        <v>0</v>
      </c>
      <c r="U92" s="12">
        <v>0</v>
      </c>
      <c r="V92" s="7" t="b">
        <f>T92&lt;=Rules!$B$4</f>
        <v>1</v>
      </c>
      <c r="W92" s="7" t="e">
        <f t="shared" ca="1" si="8"/>
        <v>#NAME?</v>
      </c>
      <c r="X92" s="7">
        <v>1</v>
      </c>
      <c r="Y92" s="14" t="b">
        <v>1</v>
      </c>
      <c r="Z92" s="7" t="s">
        <v>21</v>
      </c>
      <c r="AA92" s="7" t="s">
        <v>22</v>
      </c>
    </row>
    <row r="93" spans="1:27">
      <c r="A93" s="7">
        <v>4</v>
      </c>
      <c r="B93" s="7">
        <v>66</v>
      </c>
      <c r="C93" s="7" t="s">
        <v>32</v>
      </c>
      <c r="D93" s="7" t="s">
        <v>33</v>
      </c>
      <c r="E93" s="7" t="s">
        <v>25</v>
      </c>
      <c r="F93" s="7" t="s">
        <v>70</v>
      </c>
      <c r="G93" s="16">
        <v>0.16723508004649887</v>
      </c>
      <c r="H93" s="16">
        <v>0.66894032018599547</v>
      </c>
      <c r="I93" s="16">
        <v>4</v>
      </c>
      <c r="J93" s="16" t="e">
        <f t="shared" ca="1" si="6"/>
        <v>#NAME?</v>
      </c>
      <c r="K93" s="8" t="e">
        <f t="shared" ca="1" si="7"/>
        <v>#NAME?</v>
      </c>
      <c r="L93" s="7" t="e">
        <f ca="1">K93&lt;=Rules!$B$5</f>
        <v>#NAME?</v>
      </c>
      <c r="M93" s="12">
        <v>-3772.0070000000001</v>
      </c>
      <c r="N93" s="12">
        <v>0</v>
      </c>
      <c r="O93" s="12">
        <v>-3771.1190000000001</v>
      </c>
      <c r="P93" s="12">
        <v>0</v>
      </c>
      <c r="Q93" s="12"/>
      <c r="R93" s="12"/>
      <c r="S93" s="7">
        <v>2</v>
      </c>
      <c r="T93" s="12">
        <v>0</v>
      </c>
      <c r="U93" s="12">
        <v>0</v>
      </c>
      <c r="V93" s="7" t="b">
        <f>T93&lt;=Rules!$B$4</f>
        <v>1</v>
      </c>
      <c r="W93" s="7" t="e">
        <f t="shared" ca="1" si="8"/>
        <v>#NAME?</v>
      </c>
      <c r="X93" s="7">
        <v>2</v>
      </c>
      <c r="Y93" s="14" t="b">
        <v>0</v>
      </c>
      <c r="Z93" s="7" t="s">
        <v>71</v>
      </c>
      <c r="AA93" s="7" t="s">
        <v>72</v>
      </c>
    </row>
    <row r="94" spans="1:27">
      <c r="A94" s="7">
        <v>5</v>
      </c>
      <c r="B94" s="7">
        <v>66</v>
      </c>
      <c r="C94" s="7" t="s">
        <v>28</v>
      </c>
      <c r="D94" s="7" t="s">
        <v>29</v>
      </c>
      <c r="E94" s="7" t="s">
        <v>25</v>
      </c>
      <c r="F94" s="7" t="s">
        <v>70</v>
      </c>
      <c r="G94" s="16">
        <v>0.11691107319935616</v>
      </c>
      <c r="H94" s="16">
        <v>0.46764429279742464</v>
      </c>
      <c r="I94" s="16">
        <v>4</v>
      </c>
      <c r="J94" s="16" t="e">
        <f t="shared" ca="1" si="6"/>
        <v>#NAME?</v>
      </c>
      <c r="K94" s="8" t="e">
        <f t="shared" ca="1" si="7"/>
        <v>#NAME?</v>
      </c>
      <c r="L94" s="7" t="e">
        <f ca="1">K94&lt;=Rules!$B$5</f>
        <v>#NAME?</v>
      </c>
      <c r="M94" s="12">
        <v>-4942.74</v>
      </c>
      <c r="N94" s="12">
        <v>0</v>
      </c>
      <c r="O94" s="12">
        <v>-4940.97</v>
      </c>
      <c r="P94" s="12">
        <v>0</v>
      </c>
      <c r="Q94" s="12"/>
      <c r="R94" s="12"/>
      <c r="S94" s="7">
        <v>2</v>
      </c>
      <c r="T94" s="12">
        <v>0</v>
      </c>
      <c r="U94" s="12">
        <v>0</v>
      </c>
      <c r="V94" s="7" t="b">
        <f>T94&lt;=Rules!$B$4</f>
        <v>1</v>
      </c>
      <c r="W94" s="7" t="e">
        <f t="shared" ca="1" si="8"/>
        <v>#NAME?</v>
      </c>
      <c r="X94" s="7">
        <v>3</v>
      </c>
      <c r="Y94" s="14" t="b">
        <v>1</v>
      </c>
      <c r="Z94" s="7" t="s">
        <v>21</v>
      </c>
      <c r="AA94" s="7" t="s">
        <v>22</v>
      </c>
    </row>
    <row r="95" spans="1:27">
      <c r="A95" s="7">
        <v>5</v>
      </c>
      <c r="B95" s="7">
        <v>66</v>
      </c>
      <c r="C95" s="7" t="s">
        <v>74</v>
      </c>
      <c r="D95" s="7" t="s">
        <v>75</v>
      </c>
      <c r="E95" s="7" t="s">
        <v>25</v>
      </c>
      <c r="F95" s="7" t="s">
        <v>70</v>
      </c>
      <c r="G95" s="16">
        <v>0.11734161127668419</v>
      </c>
      <c r="H95" s="16">
        <v>0.46936644510673675</v>
      </c>
      <c r="I95" s="16">
        <v>4</v>
      </c>
      <c r="J95" s="16" t="e">
        <f t="shared" ca="1" si="6"/>
        <v>#NAME?</v>
      </c>
      <c r="K95" s="8" t="e">
        <f t="shared" ca="1" si="7"/>
        <v>#NAME?</v>
      </c>
      <c r="L95" s="7" t="e">
        <f ca="1">K95&lt;=Rules!$B$5</f>
        <v>#NAME?</v>
      </c>
      <c r="M95" s="12"/>
      <c r="N95" s="12"/>
      <c r="O95" s="12"/>
      <c r="P95" s="12"/>
      <c r="Q95" s="12">
        <v>-4948.9049999999997</v>
      </c>
      <c r="R95" s="12">
        <v>0</v>
      </c>
      <c r="S95" s="7">
        <v>1</v>
      </c>
      <c r="T95" s="12">
        <v>0</v>
      </c>
      <c r="U95" s="12">
        <v>0</v>
      </c>
      <c r="V95" s="7" t="b">
        <f>T95&lt;=Rules!$B$4</f>
        <v>1</v>
      </c>
      <c r="W95" s="7" t="e">
        <f t="shared" ca="1" si="8"/>
        <v>#NAME?</v>
      </c>
      <c r="X95" s="7">
        <v>4</v>
      </c>
      <c r="Y95" s="14" t="b">
        <v>0</v>
      </c>
      <c r="Z95" s="7" t="s">
        <v>71</v>
      </c>
      <c r="AA95" s="7" t="s">
        <v>72</v>
      </c>
    </row>
    <row r="96" spans="1:27">
      <c r="A96" s="7">
        <v>5</v>
      </c>
      <c r="B96" s="7">
        <v>66</v>
      </c>
      <c r="C96" s="7" t="s">
        <v>50</v>
      </c>
      <c r="D96" s="7" t="s">
        <v>51</v>
      </c>
      <c r="E96" s="7" t="s">
        <v>25</v>
      </c>
      <c r="F96" s="7" t="s">
        <v>70</v>
      </c>
      <c r="G96" s="16">
        <v>0.17751963143185701</v>
      </c>
      <c r="H96" s="16">
        <v>0.71007852572742802</v>
      </c>
      <c r="I96" s="16">
        <v>4</v>
      </c>
      <c r="J96" s="16" t="e">
        <f t="shared" ca="1" si="6"/>
        <v>#NAME?</v>
      </c>
      <c r="K96" s="8" t="e">
        <f t="shared" ca="1" si="7"/>
        <v>#NAME?</v>
      </c>
      <c r="L96" s="7" t="e">
        <f ca="1">K96&lt;=Rules!$B$5</f>
        <v>#NAME?</v>
      </c>
      <c r="M96" s="12">
        <v>-4907.3909999999996</v>
      </c>
      <c r="N96" s="12">
        <v>35.34900000000016</v>
      </c>
      <c r="O96" s="12"/>
      <c r="P96" s="12"/>
      <c r="Q96" s="12"/>
      <c r="R96" s="12"/>
      <c r="S96" s="7">
        <v>1</v>
      </c>
      <c r="T96" s="12">
        <v>35.34900000000016</v>
      </c>
      <c r="U96" s="12">
        <v>35.34900000000016</v>
      </c>
      <c r="V96" s="7" t="b">
        <f>T96&lt;=Rules!$B$4</f>
        <v>0</v>
      </c>
      <c r="W96" s="7" t="e">
        <f t="shared" ca="1" si="8"/>
        <v>#NAME?</v>
      </c>
      <c r="X96" s="7">
        <v>4</v>
      </c>
      <c r="Y96" s="14" t="b">
        <v>0</v>
      </c>
      <c r="Z96" s="7" t="s">
        <v>71</v>
      </c>
      <c r="AA96" s="7" t="s">
        <v>72</v>
      </c>
    </row>
    <row r="97" spans="1:27">
      <c r="A97" s="7">
        <v>5</v>
      </c>
      <c r="B97" s="7">
        <v>66</v>
      </c>
      <c r="C97" s="7" t="s">
        <v>76</v>
      </c>
      <c r="D97" s="7" t="s">
        <v>77</v>
      </c>
      <c r="E97" s="7" t="s">
        <v>20</v>
      </c>
      <c r="F97" s="7" t="s">
        <v>69</v>
      </c>
      <c r="G97" s="16">
        <v>0.28828541955565523</v>
      </c>
      <c r="H97" s="16">
        <v>1.1531416782226209</v>
      </c>
      <c r="I97" s="16">
        <v>4</v>
      </c>
      <c r="J97" s="16" t="e">
        <f t="shared" ca="1" si="6"/>
        <v>#NAME?</v>
      </c>
      <c r="K97" s="8" t="e">
        <f t="shared" ca="1" si="7"/>
        <v>#NAME?</v>
      </c>
      <c r="L97" s="7" t="e">
        <f ca="1">K97&lt;=Rules!$B$5</f>
        <v>#NAME?</v>
      </c>
      <c r="M97" s="12"/>
      <c r="N97" s="12"/>
      <c r="O97" s="12">
        <v>-4836.3519999999999</v>
      </c>
      <c r="P97" s="12">
        <v>104.61800000000039</v>
      </c>
      <c r="Q97" s="12"/>
      <c r="R97" s="12"/>
      <c r="S97" s="7">
        <v>1</v>
      </c>
      <c r="T97" s="12">
        <v>104.61800000000039</v>
      </c>
      <c r="U97" s="12">
        <v>104.61800000000039</v>
      </c>
      <c r="V97" s="7" t="b">
        <f>T97&lt;=Rules!$B$4</f>
        <v>0</v>
      </c>
      <c r="W97" s="7" t="e">
        <f t="shared" ca="1" si="8"/>
        <v>#NAME?</v>
      </c>
      <c r="X97" s="7">
        <v>3</v>
      </c>
      <c r="Y97" s="14" t="b">
        <v>0</v>
      </c>
      <c r="Z97" s="7" t="s">
        <v>71</v>
      </c>
      <c r="AA97" s="7" t="s">
        <v>72</v>
      </c>
    </row>
    <row r="98" spans="1:27">
      <c r="A98" s="7">
        <v>5</v>
      </c>
      <c r="B98" s="7">
        <v>66</v>
      </c>
      <c r="C98" s="7" t="s">
        <v>78</v>
      </c>
      <c r="D98" s="7" t="s">
        <v>79</v>
      </c>
      <c r="E98" s="7" t="s">
        <v>20</v>
      </c>
      <c r="F98" s="7" t="s">
        <v>69</v>
      </c>
      <c r="G98" s="16">
        <v>0.74587501032894965</v>
      </c>
      <c r="H98" s="16">
        <v>2.9835000413157986</v>
      </c>
      <c r="I98" s="16">
        <v>4</v>
      </c>
      <c r="J98" s="16" t="e">
        <f t="shared" ca="1" si="6"/>
        <v>#NAME?</v>
      </c>
      <c r="K98" s="8" t="e">
        <f t="shared" ca="1" si="7"/>
        <v>#NAME?</v>
      </c>
      <c r="L98" s="7" t="e">
        <f ca="1">K98&lt;=Rules!$B$5</f>
        <v>#NAME?</v>
      </c>
      <c r="M98" s="12"/>
      <c r="N98" s="12"/>
      <c r="O98" s="12"/>
      <c r="P98" s="12"/>
      <c r="Q98" s="12">
        <v>-4853.3149999999996</v>
      </c>
      <c r="R98" s="12">
        <v>95.590000000000146</v>
      </c>
      <c r="S98" s="7">
        <v>1</v>
      </c>
      <c r="T98" s="12">
        <v>95.590000000000146</v>
      </c>
      <c r="U98" s="12">
        <v>95.590000000000146</v>
      </c>
      <c r="V98" s="7" t="b">
        <f>T98&lt;=Rules!$B$4</f>
        <v>0</v>
      </c>
      <c r="W98" s="7" t="e">
        <f t="shared" ca="1" si="8"/>
        <v>#NAME?</v>
      </c>
      <c r="X98" s="7">
        <v>2</v>
      </c>
      <c r="Y98" s="14" t="b">
        <v>0</v>
      </c>
      <c r="Z98" s="7" t="s">
        <v>71</v>
      </c>
      <c r="AA98" s="7" t="s">
        <v>72</v>
      </c>
    </row>
    <row r="99" spans="1:27">
      <c r="A99" s="7">
        <v>6</v>
      </c>
      <c r="B99" s="7">
        <v>66</v>
      </c>
      <c r="C99" s="7" t="s">
        <v>26</v>
      </c>
      <c r="D99" s="7" t="s">
        <v>27</v>
      </c>
      <c r="E99" s="7" t="s">
        <v>25</v>
      </c>
      <c r="F99" s="7" t="s">
        <v>70</v>
      </c>
      <c r="G99" s="16">
        <v>0.13430140894305267</v>
      </c>
      <c r="H99" s="16">
        <v>0.5372056357722107</v>
      </c>
      <c r="I99" s="16">
        <v>4</v>
      </c>
      <c r="J99" s="16" t="e">
        <f t="shared" ca="1" si="6"/>
        <v>#NAME?</v>
      </c>
      <c r="K99" s="8" t="e">
        <f t="shared" ca="1" si="7"/>
        <v>#NAME?</v>
      </c>
      <c r="L99" s="7" t="e">
        <f ca="1">K99&lt;=Rules!$B$5</f>
        <v>#NAME?</v>
      </c>
      <c r="M99" s="12">
        <v>-6105.4229999999998</v>
      </c>
      <c r="N99" s="12">
        <v>0</v>
      </c>
      <c r="O99" s="12">
        <v>-6094.1440000000002</v>
      </c>
      <c r="P99" s="12">
        <v>0</v>
      </c>
      <c r="Q99" s="12"/>
      <c r="R99" s="12"/>
      <c r="S99" s="7">
        <v>2</v>
      </c>
      <c r="T99" s="12">
        <v>0</v>
      </c>
      <c r="U99" s="12">
        <v>0</v>
      </c>
      <c r="V99" s="7" t="b">
        <f>T99&lt;=Rules!$B$4</f>
        <v>1</v>
      </c>
      <c r="W99" s="7" t="e">
        <f t="shared" ca="1" si="8"/>
        <v>#NAME?</v>
      </c>
      <c r="X99" s="7">
        <v>1</v>
      </c>
      <c r="Y99" s="14" t="b">
        <v>1</v>
      </c>
      <c r="Z99" s="7" t="s">
        <v>21</v>
      </c>
      <c r="AA99" s="7" t="s">
        <v>22</v>
      </c>
    </row>
    <row r="100" spans="1:27">
      <c r="A100" s="7">
        <v>6</v>
      </c>
      <c r="B100" s="7">
        <v>66</v>
      </c>
      <c r="C100" s="7" t="s">
        <v>80</v>
      </c>
      <c r="D100" s="7" t="s">
        <v>27</v>
      </c>
      <c r="E100" s="7" t="s">
        <v>81</v>
      </c>
      <c r="F100" s="7" t="s">
        <v>69</v>
      </c>
      <c r="G100" s="16">
        <v>0.13443626812565418</v>
      </c>
      <c r="H100" s="16">
        <v>0.53774507250261672</v>
      </c>
      <c r="I100" s="16">
        <v>4</v>
      </c>
      <c r="J100" s="16" t="e">
        <f t="shared" ca="1" si="6"/>
        <v>#NAME?</v>
      </c>
      <c r="K100" s="8" t="e">
        <f t="shared" ca="1" si="7"/>
        <v>#NAME?</v>
      </c>
      <c r="L100" s="7" t="e">
        <f ca="1">K100&lt;=Rules!$B$5</f>
        <v>#NAME?</v>
      </c>
      <c r="M100" s="12"/>
      <c r="N100" s="12"/>
      <c r="O100" s="12"/>
      <c r="P100" s="12"/>
      <c r="Q100" s="12">
        <v>-6150.4690000000001</v>
      </c>
      <c r="R100" s="12">
        <v>1.5950000000002547</v>
      </c>
      <c r="S100" s="7">
        <v>1</v>
      </c>
      <c r="T100" s="12">
        <v>1.5950000000002547</v>
      </c>
      <c r="U100" s="12">
        <v>1.5950000000002547</v>
      </c>
      <c r="V100" s="7" t="b">
        <f>T100&lt;=Rules!$B$4</f>
        <v>1</v>
      </c>
      <c r="W100" s="7" t="e">
        <f t="shared" ca="1" si="8"/>
        <v>#NAME?</v>
      </c>
      <c r="X100" s="7">
        <v>3</v>
      </c>
      <c r="Y100" s="14" t="b">
        <v>0</v>
      </c>
      <c r="Z100" s="7" t="s">
        <v>71</v>
      </c>
      <c r="AA100" s="7" t="s">
        <v>72</v>
      </c>
    </row>
    <row r="101" spans="1:27">
      <c r="A101" s="7">
        <v>6</v>
      </c>
      <c r="B101" s="7">
        <v>66</v>
      </c>
      <c r="C101" s="7" t="s">
        <v>30</v>
      </c>
      <c r="D101" s="7" t="s">
        <v>31</v>
      </c>
      <c r="E101" s="7" t="s">
        <v>25</v>
      </c>
      <c r="F101" s="7" t="s">
        <v>70</v>
      </c>
      <c r="G101" s="16">
        <v>0.13565142906072963</v>
      </c>
      <c r="H101" s="16">
        <v>0.54260571624291853</v>
      </c>
      <c r="I101" s="16">
        <v>4</v>
      </c>
      <c r="J101" s="16" t="e">
        <f t="shared" ref="J101:J132" ca="1" si="9">_xludf.MINIFS($G$5:$G$168,$A$5:$A$168,A101,$B$5:$B$168,B101)</f>
        <v>#NAME?</v>
      </c>
      <c r="K101" s="8" t="e">
        <f t="shared" ref="K101:K132" ca="1" si="10">IF(J101=0,0,(G101-J101)/J101)</f>
        <v>#NAME?</v>
      </c>
      <c r="L101" s="7" t="e">
        <f ca="1">K101&lt;=Rules!$B$5</f>
        <v>#NAME?</v>
      </c>
      <c r="M101" s="12"/>
      <c r="N101" s="12"/>
      <c r="O101" s="12"/>
      <c r="P101" s="12"/>
      <c r="Q101" s="12">
        <v>-6152.0640000000003</v>
      </c>
      <c r="R101" s="12">
        <v>0</v>
      </c>
      <c r="S101" s="7">
        <v>1</v>
      </c>
      <c r="T101" s="12">
        <v>0</v>
      </c>
      <c r="U101" s="12">
        <v>0</v>
      </c>
      <c r="V101" s="7" t="b">
        <f>T101&lt;=Rules!$B$4</f>
        <v>1</v>
      </c>
      <c r="W101" s="7" t="e">
        <f t="shared" ref="W101:W132" ca="1" si="11">AND(L101,V101)</f>
        <v>#NAME?</v>
      </c>
      <c r="X101" s="7">
        <v>3</v>
      </c>
      <c r="Y101" s="14" t="b">
        <v>0</v>
      </c>
      <c r="Z101" s="7" t="s">
        <v>71</v>
      </c>
      <c r="AA101" s="7" t="s">
        <v>72</v>
      </c>
    </row>
    <row r="102" spans="1:27">
      <c r="A102" s="7">
        <v>7</v>
      </c>
      <c r="B102" s="7">
        <v>66</v>
      </c>
      <c r="C102" s="7" t="s">
        <v>46</v>
      </c>
      <c r="D102" s="7" t="s">
        <v>27</v>
      </c>
      <c r="E102" s="7" t="s">
        <v>20</v>
      </c>
      <c r="F102" s="7" t="s">
        <v>69</v>
      </c>
      <c r="G102" s="16">
        <v>0.28392266227921498</v>
      </c>
      <c r="H102" s="16">
        <v>1.1356906491168599</v>
      </c>
      <c r="I102" s="16">
        <v>4</v>
      </c>
      <c r="J102" s="16" t="e">
        <f t="shared" ca="1" si="9"/>
        <v>#NAME?</v>
      </c>
      <c r="K102" s="8" t="e">
        <f t="shared" ca="1" si="10"/>
        <v>#NAME?</v>
      </c>
      <c r="L102" s="7" t="e">
        <f ca="1">K102&lt;=Rules!$B$5</f>
        <v>#NAME?</v>
      </c>
      <c r="M102" s="12">
        <v>-7439.28</v>
      </c>
      <c r="N102" s="12">
        <v>0</v>
      </c>
      <c r="O102" s="12">
        <v>-7436.1180000000004</v>
      </c>
      <c r="P102" s="12">
        <v>0</v>
      </c>
      <c r="Q102" s="12"/>
      <c r="R102" s="12"/>
      <c r="S102" s="7">
        <v>2</v>
      </c>
      <c r="T102" s="12">
        <v>0</v>
      </c>
      <c r="U102" s="12">
        <v>0</v>
      </c>
      <c r="V102" s="7" t="b">
        <f>T102&lt;=Rules!$B$4</f>
        <v>1</v>
      </c>
      <c r="W102" s="7" t="e">
        <f t="shared" ca="1" si="11"/>
        <v>#NAME?</v>
      </c>
      <c r="X102" s="7">
        <v>2</v>
      </c>
      <c r="Y102" s="14" t="b">
        <v>1</v>
      </c>
      <c r="Z102" s="7" t="s">
        <v>21</v>
      </c>
      <c r="AA102" s="7" t="s">
        <v>22</v>
      </c>
    </row>
    <row r="103" spans="1:27">
      <c r="A103" s="7">
        <v>7</v>
      </c>
      <c r="B103" s="7">
        <v>66</v>
      </c>
      <c r="C103" s="7" t="s">
        <v>26</v>
      </c>
      <c r="D103" s="7" t="s">
        <v>27</v>
      </c>
      <c r="E103" s="7" t="s">
        <v>25</v>
      </c>
      <c r="F103" s="7" t="s">
        <v>70</v>
      </c>
      <c r="G103" s="16">
        <v>0.28690426830679561</v>
      </c>
      <c r="H103" s="16">
        <v>1.1476170732271824</v>
      </c>
      <c r="I103" s="16">
        <v>4</v>
      </c>
      <c r="J103" s="16" t="e">
        <f t="shared" ca="1" si="9"/>
        <v>#NAME?</v>
      </c>
      <c r="K103" s="8" t="e">
        <f t="shared" ca="1" si="10"/>
        <v>#NAME?</v>
      </c>
      <c r="L103" s="7" t="e">
        <f ca="1">K103&lt;=Rules!$B$5</f>
        <v>#NAME?</v>
      </c>
      <c r="M103" s="12"/>
      <c r="N103" s="12"/>
      <c r="O103" s="12">
        <v>-7435.07</v>
      </c>
      <c r="P103" s="12">
        <v>1.0480000000006839</v>
      </c>
      <c r="Q103" s="12"/>
      <c r="R103" s="12"/>
      <c r="S103" s="7">
        <v>1</v>
      </c>
      <c r="T103" s="12">
        <v>1.0480000000006839</v>
      </c>
      <c r="U103" s="12">
        <v>1.0480000000006839</v>
      </c>
      <c r="V103" s="7" t="b">
        <f>T103&lt;=Rules!$B$4</f>
        <v>1</v>
      </c>
      <c r="W103" s="7" t="e">
        <f t="shared" ca="1" si="11"/>
        <v>#NAME?</v>
      </c>
      <c r="X103" s="7">
        <v>1</v>
      </c>
      <c r="Y103" s="14" t="b">
        <v>0</v>
      </c>
      <c r="Z103" s="7" t="s">
        <v>71</v>
      </c>
      <c r="AA103" s="7" t="s">
        <v>72</v>
      </c>
    </row>
    <row r="104" spans="1:27">
      <c r="A104" s="7">
        <v>7</v>
      </c>
      <c r="B104" s="7">
        <v>66</v>
      </c>
      <c r="C104" s="7" t="s">
        <v>41</v>
      </c>
      <c r="D104" s="7" t="s">
        <v>19</v>
      </c>
      <c r="E104" s="7" t="s">
        <v>25</v>
      </c>
      <c r="F104" s="7" t="s">
        <v>70</v>
      </c>
      <c r="G104" s="16">
        <v>0.28746850292694875</v>
      </c>
      <c r="H104" s="16">
        <v>1.149874011707795</v>
      </c>
      <c r="I104" s="16">
        <v>4</v>
      </c>
      <c r="J104" s="16" t="e">
        <f t="shared" ca="1" si="9"/>
        <v>#NAME?</v>
      </c>
      <c r="K104" s="8" t="e">
        <f t="shared" ca="1" si="10"/>
        <v>#NAME?</v>
      </c>
      <c r="L104" s="7" t="e">
        <f ca="1">K104&lt;=Rules!$B$5</f>
        <v>#NAME?</v>
      </c>
      <c r="M104" s="12"/>
      <c r="N104" s="12"/>
      <c r="O104" s="12"/>
      <c r="P104" s="12"/>
      <c r="Q104" s="12">
        <v>-7458.3680000000004</v>
      </c>
      <c r="R104" s="12">
        <v>0</v>
      </c>
      <c r="S104" s="7">
        <v>1</v>
      </c>
      <c r="T104" s="12">
        <v>0</v>
      </c>
      <c r="U104" s="12">
        <v>0</v>
      </c>
      <c r="V104" s="7" t="b">
        <f>T104&lt;=Rules!$B$4</f>
        <v>1</v>
      </c>
      <c r="W104" s="7" t="e">
        <f t="shared" ca="1" si="11"/>
        <v>#NAME?</v>
      </c>
      <c r="X104" s="7">
        <v>3</v>
      </c>
      <c r="Y104" s="14" t="b">
        <v>0</v>
      </c>
      <c r="Z104" s="7" t="s">
        <v>71</v>
      </c>
      <c r="AA104" s="7" t="s">
        <v>72</v>
      </c>
    </row>
    <row r="105" spans="1:27">
      <c r="A105" s="7">
        <v>7</v>
      </c>
      <c r="B105" s="7">
        <v>66</v>
      </c>
      <c r="C105" s="7" t="s">
        <v>32</v>
      </c>
      <c r="D105" s="7" t="s">
        <v>33</v>
      </c>
      <c r="E105" s="7" t="s">
        <v>25</v>
      </c>
      <c r="F105" s="7" t="s">
        <v>70</v>
      </c>
      <c r="G105" s="16">
        <v>0.28760737239271433</v>
      </c>
      <c r="H105" s="16">
        <v>1.1504294895708573</v>
      </c>
      <c r="I105" s="16">
        <v>4</v>
      </c>
      <c r="J105" s="16" t="e">
        <f t="shared" ca="1" si="9"/>
        <v>#NAME?</v>
      </c>
      <c r="K105" s="8" t="e">
        <f t="shared" ca="1" si="10"/>
        <v>#NAME?</v>
      </c>
      <c r="L105" s="7" t="e">
        <f ca="1">K105&lt;=Rules!$B$5</f>
        <v>#NAME?</v>
      </c>
      <c r="M105" s="12">
        <v>-7430.7910000000002</v>
      </c>
      <c r="N105" s="12">
        <v>8.488999999999578</v>
      </c>
      <c r="O105" s="12"/>
      <c r="P105" s="12"/>
      <c r="Q105" s="12"/>
      <c r="R105" s="12"/>
      <c r="S105" s="7">
        <v>1</v>
      </c>
      <c r="T105" s="12">
        <v>8.488999999999578</v>
      </c>
      <c r="U105" s="12">
        <v>8.488999999999578</v>
      </c>
      <c r="V105" s="7" t="b">
        <f>T105&lt;=Rules!$B$4</f>
        <v>0</v>
      </c>
      <c r="W105" s="7" t="e">
        <f t="shared" ca="1" si="11"/>
        <v>#NAME?</v>
      </c>
      <c r="X105" s="7">
        <v>2</v>
      </c>
      <c r="Y105" s="14" t="b">
        <v>0</v>
      </c>
      <c r="Z105" s="7" t="s">
        <v>71</v>
      </c>
      <c r="AA105" s="7" t="s">
        <v>72</v>
      </c>
    </row>
    <row r="106" spans="1:27">
      <c r="A106" s="7">
        <v>8</v>
      </c>
      <c r="B106" s="7">
        <v>66</v>
      </c>
      <c r="C106" s="7" t="s">
        <v>83</v>
      </c>
      <c r="D106" s="7" t="s">
        <v>39</v>
      </c>
      <c r="E106" s="7" t="s">
        <v>25</v>
      </c>
      <c r="F106" s="7" t="s">
        <v>70</v>
      </c>
      <c r="G106" s="16">
        <v>0.23370610653744334</v>
      </c>
      <c r="H106" s="16">
        <v>0.93482442614977335</v>
      </c>
      <c r="I106" s="16">
        <v>4</v>
      </c>
      <c r="J106" s="16" t="e">
        <f t="shared" ca="1" si="9"/>
        <v>#NAME?</v>
      </c>
      <c r="K106" s="8" t="e">
        <f t="shared" ca="1" si="10"/>
        <v>#NAME?</v>
      </c>
      <c r="L106" s="7" t="e">
        <f ca="1">K106&lt;=Rules!$B$5</f>
        <v>#NAME?</v>
      </c>
      <c r="M106" s="12"/>
      <c r="N106" s="12"/>
      <c r="O106" s="12">
        <v>-6206.5540000000001</v>
      </c>
      <c r="P106" s="12">
        <v>0</v>
      </c>
      <c r="Q106" s="12"/>
      <c r="R106" s="12"/>
      <c r="S106" s="7">
        <v>1</v>
      </c>
      <c r="T106" s="12">
        <v>0</v>
      </c>
      <c r="U106" s="12">
        <v>0</v>
      </c>
      <c r="V106" s="7" t="b">
        <f>T106&lt;=Rules!$B$4</f>
        <v>1</v>
      </c>
      <c r="W106" s="7" t="e">
        <f t="shared" ca="1" si="11"/>
        <v>#NAME?</v>
      </c>
      <c r="X106" s="7">
        <v>4</v>
      </c>
      <c r="Y106" s="14" t="b">
        <v>0</v>
      </c>
      <c r="Z106" s="7" t="s">
        <v>71</v>
      </c>
      <c r="AA106" s="7" t="s">
        <v>72</v>
      </c>
    </row>
    <row r="107" spans="1:27">
      <c r="A107" s="7">
        <v>8</v>
      </c>
      <c r="B107" s="7">
        <v>66</v>
      </c>
      <c r="C107" s="7" t="s">
        <v>23</v>
      </c>
      <c r="D107" s="7" t="s">
        <v>24</v>
      </c>
      <c r="E107" s="7" t="s">
        <v>25</v>
      </c>
      <c r="F107" s="7" t="s">
        <v>70</v>
      </c>
      <c r="G107" s="16">
        <v>0.23464432198390267</v>
      </c>
      <c r="H107" s="16">
        <v>0.93857728793561068</v>
      </c>
      <c r="I107" s="16">
        <v>4</v>
      </c>
      <c r="J107" s="16" t="e">
        <f t="shared" ca="1" si="9"/>
        <v>#NAME?</v>
      </c>
      <c r="K107" s="8" t="e">
        <f t="shared" ca="1" si="10"/>
        <v>#NAME?</v>
      </c>
      <c r="L107" s="7" t="e">
        <f ca="1">K107&lt;=Rules!$B$5</f>
        <v>#NAME?</v>
      </c>
      <c r="M107" s="12">
        <v>-6206.3540000000003</v>
      </c>
      <c r="N107" s="12">
        <v>0</v>
      </c>
      <c r="O107" s="12">
        <v>-6205.3410000000003</v>
      </c>
      <c r="P107" s="12">
        <v>1.2129999999997381</v>
      </c>
      <c r="Q107" s="12"/>
      <c r="R107" s="12"/>
      <c r="S107" s="7">
        <v>2</v>
      </c>
      <c r="T107" s="12">
        <v>0.60649999999986903</v>
      </c>
      <c r="U107" s="12">
        <v>1.2129999999997381</v>
      </c>
      <c r="V107" s="7" t="b">
        <f>T107&lt;=Rules!$B$4</f>
        <v>1</v>
      </c>
      <c r="W107" s="7" t="e">
        <f t="shared" ca="1" si="11"/>
        <v>#NAME?</v>
      </c>
      <c r="X107" s="7">
        <v>2</v>
      </c>
      <c r="Y107" s="14" t="b">
        <v>1</v>
      </c>
      <c r="Z107" s="7" t="s">
        <v>21</v>
      </c>
      <c r="AA107" s="7" t="s">
        <v>22</v>
      </c>
    </row>
    <row r="108" spans="1:27">
      <c r="A108" s="7">
        <v>8</v>
      </c>
      <c r="B108" s="7">
        <v>66</v>
      </c>
      <c r="C108" s="7" t="s">
        <v>82</v>
      </c>
      <c r="D108" s="7" t="s">
        <v>27</v>
      </c>
      <c r="E108" s="7" t="s">
        <v>35</v>
      </c>
      <c r="F108" s="7" t="s">
        <v>69</v>
      </c>
      <c r="G108" s="16">
        <v>0.23817105766625424</v>
      </c>
      <c r="H108" s="16">
        <v>0.95268423066501695</v>
      </c>
      <c r="I108" s="16">
        <v>4</v>
      </c>
      <c r="J108" s="16" t="e">
        <f t="shared" ca="1" si="9"/>
        <v>#NAME?</v>
      </c>
      <c r="K108" s="8" t="e">
        <f t="shared" ca="1" si="10"/>
        <v>#NAME?</v>
      </c>
      <c r="L108" s="7" t="e">
        <f ca="1">K108&lt;=Rules!$B$5</f>
        <v>#NAME?</v>
      </c>
      <c r="M108" s="12"/>
      <c r="N108" s="12"/>
      <c r="O108" s="12"/>
      <c r="P108" s="12"/>
      <c r="Q108" s="12">
        <v>-6217.2420000000002</v>
      </c>
      <c r="R108" s="12">
        <v>0</v>
      </c>
      <c r="S108" s="7">
        <v>1</v>
      </c>
      <c r="T108" s="12">
        <v>0</v>
      </c>
      <c r="U108" s="12">
        <v>0</v>
      </c>
      <c r="V108" s="7" t="b">
        <f>T108&lt;=Rules!$B$4</f>
        <v>1</v>
      </c>
      <c r="W108" s="7" t="e">
        <f t="shared" ca="1" si="11"/>
        <v>#NAME?</v>
      </c>
      <c r="X108" s="7">
        <v>2</v>
      </c>
      <c r="Y108" s="14" t="b">
        <v>0</v>
      </c>
      <c r="Z108" s="7" t="s">
        <v>71</v>
      </c>
      <c r="AA108" s="7" t="s">
        <v>72</v>
      </c>
    </row>
    <row r="109" spans="1:27">
      <c r="A109" s="7">
        <v>8</v>
      </c>
      <c r="B109" s="7">
        <v>66</v>
      </c>
      <c r="C109" s="7" t="s">
        <v>26</v>
      </c>
      <c r="D109" s="7" t="s">
        <v>27</v>
      </c>
      <c r="E109" s="7" t="s">
        <v>25</v>
      </c>
      <c r="F109" s="7" t="s">
        <v>70</v>
      </c>
      <c r="G109" s="16">
        <v>0.23954702074094342</v>
      </c>
      <c r="H109" s="16">
        <v>0.95818808296377367</v>
      </c>
      <c r="I109" s="16">
        <v>4</v>
      </c>
      <c r="J109" s="16" t="e">
        <f t="shared" ca="1" si="9"/>
        <v>#NAME?</v>
      </c>
      <c r="K109" s="8" t="e">
        <f t="shared" ca="1" si="10"/>
        <v>#NAME?</v>
      </c>
      <c r="L109" s="7" t="e">
        <f ca="1">K109&lt;=Rules!$B$5</f>
        <v>#NAME?</v>
      </c>
      <c r="M109" s="12"/>
      <c r="N109" s="12"/>
      <c r="O109" s="12"/>
      <c r="P109" s="12"/>
      <c r="Q109" s="12">
        <v>-6216.7330000000002</v>
      </c>
      <c r="R109" s="12">
        <v>0.50900000000001455</v>
      </c>
      <c r="S109" s="7">
        <v>1</v>
      </c>
      <c r="T109" s="12">
        <v>0.50900000000001455</v>
      </c>
      <c r="U109" s="12">
        <v>0.50900000000001455</v>
      </c>
      <c r="V109" s="7" t="b">
        <f>T109&lt;=Rules!$B$4</f>
        <v>1</v>
      </c>
      <c r="W109" s="7" t="e">
        <f t="shared" ca="1" si="11"/>
        <v>#NAME?</v>
      </c>
      <c r="X109" s="7">
        <v>1</v>
      </c>
      <c r="Y109" s="14" t="b">
        <v>0</v>
      </c>
      <c r="Z109" s="7" t="s">
        <v>71</v>
      </c>
      <c r="AA109" s="7" t="s">
        <v>72</v>
      </c>
    </row>
    <row r="110" spans="1:27">
      <c r="A110" s="7">
        <v>9</v>
      </c>
      <c r="B110" s="7">
        <v>66</v>
      </c>
      <c r="C110" s="7" t="s">
        <v>84</v>
      </c>
      <c r="D110" s="7" t="s">
        <v>85</v>
      </c>
      <c r="E110" s="7" t="s">
        <v>25</v>
      </c>
      <c r="F110" s="7" t="s">
        <v>70</v>
      </c>
      <c r="G110" s="16">
        <v>0.29434675500121171</v>
      </c>
      <c r="H110" s="16">
        <v>1.1773870200048469</v>
      </c>
      <c r="I110" s="16">
        <v>4</v>
      </c>
      <c r="J110" s="16" t="e">
        <f t="shared" ca="1" si="9"/>
        <v>#NAME?</v>
      </c>
      <c r="K110" s="8" t="e">
        <f t="shared" ca="1" si="10"/>
        <v>#NAME?</v>
      </c>
      <c r="L110" s="7" t="e">
        <f ca="1">K110&lt;=Rules!$B$5</f>
        <v>#NAME?</v>
      </c>
      <c r="M110" s="12">
        <v>-5830.9520000000002</v>
      </c>
      <c r="N110" s="12">
        <v>0</v>
      </c>
      <c r="O110" s="12"/>
      <c r="P110" s="12"/>
      <c r="Q110" s="12"/>
      <c r="R110" s="12"/>
      <c r="S110" s="7">
        <v>1</v>
      </c>
      <c r="T110" s="12">
        <v>0</v>
      </c>
      <c r="U110" s="12">
        <v>0</v>
      </c>
      <c r="V110" s="7" t="b">
        <f>T110&lt;=Rules!$B$4</f>
        <v>1</v>
      </c>
      <c r="W110" s="7" t="e">
        <f t="shared" ca="1" si="11"/>
        <v>#NAME?</v>
      </c>
      <c r="X110" s="7">
        <v>4</v>
      </c>
      <c r="Y110" s="14" t="b">
        <v>0</v>
      </c>
      <c r="Z110" s="7" t="s">
        <v>71</v>
      </c>
      <c r="AA110" s="7" t="s">
        <v>72</v>
      </c>
    </row>
    <row r="111" spans="1:27">
      <c r="A111" s="7">
        <v>9</v>
      </c>
      <c r="B111" s="7">
        <v>66</v>
      </c>
      <c r="C111" s="7" t="s">
        <v>26</v>
      </c>
      <c r="D111" s="7" t="s">
        <v>27</v>
      </c>
      <c r="E111" s="7" t="s">
        <v>25</v>
      </c>
      <c r="F111" s="7" t="s">
        <v>70</v>
      </c>
      <c r="G111" s="16">
        <v>0.29579946096643062</v>
      </c>
      <c r="H111" s="16">
        <v>1.1831978438657225</v>
      </c>
      <c r="I111" s="16">
        <v>4</v>
      </c>
      <c r="J111" s="16" t="e">
        <f t="shared" ca="1" si="9"/>
        <v>#NAME?</v>
      </c>
      <c r="K111" s="8" t="e">
        <f t="shared" ca="1" si="10"/>
        <v>#NAME?</v>
      </c>
      <c r="L111" s="7" t="e">
        <f ca="1">K111&lt;=Rules!$B$5</f>
        <v>#NAME?</v>
      </c>
      <c r="M111" s="12"/>
      <c r="N111" s="12"/>
      <c r="O111" s="12">
        <v>-5821.4449999999997</v>
      </c>
      <c r="P111" s="12">
        <v>7.3800000000001091</v>
      </c>
      <c r="Q111" s="12"/>
      <c r="R111" s="12"/>
      <c r="S111" s="7">
        <v>1</v>
      </c>
      <c r="T111" s="12">
        <v>7.3800000000001091</v>
      </c>
      <c r="U111" s="12">
        <v>7.3800000000001091</v>
      </c>
      <c r="V111" s="7" t="b">
        <f>T111&lt;=Rules!$B$4</f>
        <v>0</v>
      </c>
      <c r="W111" s="7" t="e">
        <f t="shared" ca="1" si="11"/>
        <v>#NAME?</v>
      </c>
      <c r="X111" s="7">
        <v>1</v>
      </c>
      <c r="Y111" s="14" t="b">
        <v>0</v>
      </c>
      <c r="Z111" s="7" t="s">
        <v>71</v>
      </c>
      <c r="AA111" s="7" t="s">
        <v>72</v>
      </c>
    </row>
    <row r="112" spans="1:27">
      <c r="A112" s="7">
        <v>9</v>
      </c>
      <c r="B112" s="7">
        <v>66</v>
      </c>
      <c r="C112" s="7" t="s">
        <v>47</v>
      </c>
      <c r="D112" s="7" t="s">
        <v>48</v>
      </c>
      <c r="E112" s="7" t="s">
        <v>25</v>
      </c>
      <c r="F112" s="7" t="s">
        <v>70</v>
      </c>
      <c r="G112" s="16">
        <v>0.29597126746621355</v>
      </c>
      <c r="H112" s="16">
        <v>1.1838850698648542</v>
      </c>
      <c r="I112" s="16">
        <v>4</v>
      </c>
      <c r="J112" s="16" t="e">
        <f t="shared" ca="1" si="9"/>
        <v>#NAME?</v>
      </c>
      <c r="K112" s="8" t="e">
        <f t="shared" ca="1" si="10"/>
        <v>#NAME?</v>
      </c>
      <c r="L112" s="7" t="e">
        <f ca="1">K112&lt;=Rules!$B$5</f>
        <v>#NAME?</v>
      </c>
      <c r="M112" s="12"/>
      <c r="N112" s="12"/>
      <c r="O112" s="12"/>
      <c r="P112" s="12"/>
      <c r="Q112" s="12">
        <v>-5834.7139999999999</v>
      </c>
      <c r="R112" s="12">
        <v>0</v>
      </c>
      <c r="S112" s="7">
        <v>1</v>
      </c>
      <c r="T112" s="12">
        <v>0</v>
      </c>
      <c r="U112" s="12">
        <v>0</v>
      </c>
      <c r="V112" s="7" t="b">
        <f>T112&lt;=Rules!$B$4</f>
        <v>1</v>
      </c>
      <c r="W112" s="7" t="e">
        <f t="shared" ca="1" si="11"/>
        <v>#NAME?</v>
      </c>
      <c r="X112" s="7">
        <v>3</v>
      </c>
      <c r="Y112" s="14" t="b">
        <v>1</v>
      </c>
      <c r="Z112" s="7" t="s">
        <v>21</v>
      </c>
      <c r="AA112" s="7" t="s">
        <v>22</v>
      </c>
    </row>
    <row r="113" spans="1:27">
      <c r="A113" s="7">
        <v>9</v>
      </c>
      <c r="B113" s="7">
        <v>66</v>
      </c>
      <c r="C113" s="7" t="s">
        <v>30</v>
      </c>
      <c r="D113" s="7" t="s">
        <v>31</v>
      </c>
      <c r="E113" s="7" t="s">
        <v>25</v>
      </c>
      <c r="F113" s="7" t="s">
        <v>70</v>
      </c>
      <c r="G113" s="16">
        <v>0.29628027321367123</v>
      </c>
      <c r="H113" s="16">
        <v>1.1851210928546849</v>
      </c>
      <c r="I113" s="16">
        <v>4</v>
      </c>
      <c r="J113" s="16" t="e">
        <f t="shared" ca="1" si="9"/>
        <v>#NAME?</v>
      </c>
      <c r="K113" s="8" t="e">
        <f t="shared" ca="1" si="10"/>
        <v>#NAME?</v>
      </c>
      <c r="L113" s="7" t="e">
        <f ca="1">K113&lt;=Rules!$B$5</f>
        <v>#NAME?</v>
      </c>
      <c r="M113" s="12"/>
      <c r="N113" s="12"/>
      <c r="O113" s="12">
        <v>-5828.8249999999998</v>
      </c>
      <c r="P113" s="12">
        <v>0</v>
      </c>
      <c r="Q113" s="12"/>
      <c r="R113" s="12"/>
      <c r="S113" s="7">
        <v>1</v>
      </c>
      <c r="T113" s="12">
        <v>0</v>
      </c>
      <c r="U113" s="12">
        <v>0</v>
      </c>
      <c r="V113" s="7" t="b">
        <f>T113&lt;=Rules!$B$4</f>
        <v>1</v>
      </c>
      <c r="W113" s="7" t="e">
        <f t="shared" ca="1" si="11"/>
        <v>#NAME?</v>
      </c>
      <c r="X113" s="7">
        <v>3</v>
      </c>
      <c r="Y113" s="14" t="b">
        <v>0</v>
      </c>
      <c r="Z113" s="7" t="s">
        <v>71</v>
      </c>
      <c r="AA113" s="7" t="s">
        <v>72</v>
      </c>
    </row>
    <row r="114" spans="1:27">
      <c r="A114" s="7">
        <v>10</v>
      </c>
      <c r="B114" s="7">
        <v>66</v>
      </c>
      <c r="C114" s="7" t="s">
        <v>49</v>
      </c>
      <c r="D114" s="7" t="s">
        <v>33</v>
      </c>
      <c r="E114" s="7" t="s">
        <v>40</v>
      </c>
      <c r="F114" s="7" t="s">
        <v>69</v>
      </c>
      <c r="G114" s="16">
        <v>0.13750250973122399</v>
      </c>
      <c r="H114" s="16">
        <v>0.55001003892489597</v>
      </c>
      <c r="I114" s="16">
        <v>4</v>
      </c>
      <c r="J114" s="16" t="e">
        <f t="shared" ca="1" si="9"/>
        <v>#NAME?</v>
      </c>
      <c r="K114" s="8" t="e">
        <f t="shared" ca="1" si="10"/>
        <v>#NAME?</v>
      </c>
      <c r="L114" s="7" t="e">
        <f ca="1">K114&lt;=Rules!$B$5</f>
        <v>#NAME?</v>
      </c>
      <c r="M114" s="12"/>
      <c r="N114" s="12"/>
      <c r="O114" s="12">
        <v>-4241.3869999999997</v>
      </c>
      <c r="P114" s="12">
        <v>0</v>
      </c>
      <c r="Q114" s="12"/>
      <c r="R114" s="12"/>
      <c r="S114" s="7">
        <v>1</v>
      </c>
      <c r="T114" s="12">
        <v>0</v>
      </c>
      <c r="U114" s="12">
        <v>0</v>
      </c>
      <c r="V114" s="7" t="b">
        <f>T114&lt;=Rules!$B$4</f>
        <v>1</v>
      </c>
      <c r="W114" s="7" t="e">
        <f t="shared" ca="1" si="11"/>
        <v>#NAME?</v>
      </c>
      <c r="X114" s="7">
        <v>4</v>
      </c>
      <c r="Y114" s="14" t="b">
        <v>1</v>
      </c>
      <c r="Z114" s="7" t="s">
        <v>21</v>
      </c>
      <c r="AA114" s="7" t="s">
        <v>22</v>
      </c>
    </row>
    <row r="115" spans="1:27">
      <c r="A115" s="7">
        <v>10</v>
      </c>
      <c r="B115" s="7">
        <v>66</v>
      </c>
      <c r="C115" s="7" t="s">
        <v>32</v>
      </c>
      <c r="D115" s="7" t="s">
        <v>33</v>
      </c>
      <c r="E115" s="7" t="s">
        <v>25</v>
      </c>
      <c r="F115" s="7" t="s">
        <v>70</v>
      </c>
      <c r="G115" s="16">
        <v>0.13890301493338186</v>
      </c>
      <c r="H115" s="16">
        <v>0.55561205973352745</v>
      </c>
      <c r="I115" s="16">
        <v>4</v>
      </c>
      <c r="J115" s="16" t="e">
        <f t="shared" ca="1" si="9"/>
        <v>#NAME?</v>
      </c>
      <c r="K115" s="8" t="e">
        <f t="shared" ca="1" si="10"/>
        <v>#NAME?</v>
      </c>
      <c r="L115" s="7" t="e">
        <f ca="1">K115&lt;=Rules!$B$5</f>
        <v>#NAME?</v>
      </c>
      <c r="M115" s="12">
        <v>-4245.5609999999997</v>
      </c>
      <c r="N115" s="12">
        <v>0</v>
      </c>
      <c r="O115" s="12">
        <v>-4241.2579999999998</v>
      </c>
      <c r="P115" s="12">
        <v>0.12899999999990541</v>
      </c>
      <c r="Q115" s="12">
        <v>-4258.7700000000004</v>
      </c>
      <c r="R115" s="12">
        <v>0</v>
      </c>
      <c r="S115" s="7">
        <v>3</v>
      </c>
      <c r="T115" s="12">
        <v>0</v>
      </c>
      <c r="U115" s="12">
        <v>0.12899999999990541</v>
      </c>
      <c r="V115" s="7" t="b">
        <f>T115&lt;=Rules!$B$4</f>
        <v>1</v>
      </c>
      <c r="W115" s="7" t="e">
        <f t="shared" ca="1" si="11"/>
        <v>#NAME?</v>
      </c>
      <c r="X115" s="7">
        <v>2</v>
      </c>
      <c r="Y115" s="14" t="b">
        <v>0</v>
      </c>
      <c r="Z115" s="7" t="s">
        <v>71</v>
      </c>
      <c r="AA115" s="7" t="s">
        <v>72</v>
      </c>
    </row>
    <row r="116" spans="1:27">
      <c r="A116" s="7">
        <v>11</v>
      </c>
      <c r="B116" s="7">
        <v>66</v>
      </c>
      <c r="C116" s="7" t="s">
        <v>18</v>
      </c>
      <c r="D116" s="7" t="s">
        <v>19</v>
      </c>
      <c r="E116" s="7" t="s">
        <v>20</v>
      </c>
      <c r="F116" s="7" t="s">
        <v>69</v>
      </c>
      <c r="G116" s="16">
        <v>0.4738040052501642</v>
      </c>
      <c r="H116" s="16">
        <v>1.8952160210006568</v>
      </c>
      <c r="I116" s="16">
        <v>4</v>
      </c>
      <c r="J116" s="16" t="e">
        <f t="shared" ca="1" si="9"/>
        <v>#NAME?</v>
      </c>
      <c r="K116" s="8" t="e">
        <f t="shared" ca="1" si="10"/>
        <v>#NAME?</v>
      </c>
      <c r="L116" s="7" t="e">
        <f ca="1">K116&lt;=Rules!$B$5</f>
        <v>#NAME?</v>
      </c>
      <c r="M116" s="12"/>
      <c r="N116" s="12"/>
      <c r="O116" s="12">
        <v>-4970.1469999999999</v>
      </c>
      <c r="P116" s="12">
        <v>0</v>
      </c>
      <c r="Q116" s="12"/>
      <c r="R116" s="12"/>
      <c r="S116" s="7">
        <v>1</v>
      </c>
      <c r="T116" s="12">
        <v>0</v>
      </c>
      <c r="U116" s="12">
        <v>0</v>
      </c>
      <c r="V116" s="7" t="b">
        <f>T116&lt;=Rules!$B$4</f>
        <v>1</v>
      </c>
      <c r="W116" s="7" t="e">
        <f t="shared" ca="1" si="11"/>
        <v>#NAME?</v>
      </c>
      <c r="X116" s="7">
        <v>4</v>
      </c>
      <c r="Y116" s="14" t="b">
        <v>1</v>
      </c>
      <c r="Z116" s="7" t="s">
        <v>21</v>
      </c>
      <c r="AA116" s="7" t="s">
        <v>22</v>
      </c>
    </row>
    <row r="117" spans="1:27">
      <c r="A117" s="7">
        <v>11</v>
      </c>
      <c r="B117" s="7">
        <v>66</v>
      </c>
      <c r="C117" s="7" t="s">
        <v>34</v>
      </c>
      <c r="D117" s="7" t="s">
        <v>19</v>
      </c>
      <c r="E117" s="7" t="s">
        <v>35</v>
      </c>
      <c r="F117" s="7" t="s">
        <v>69</v>
      </c>
      <c r="G117" s="16">
        <v>0.4779835687027334</v>
      </c>
      <c r="H117" s="16">
        <v>1.9119342748109336</v>
      </c>
      <c r="I117" s="16">
        <v>4</v>
      </c>
      <c r="J117" s="16" t="e">
        <f t="shared" ca="1" si="9"/>
        <v>#NAME?</v>
      </c>
      <c r="K117" s="8" t="e">
        <f t="shared" ca="1" si="10"/>
        <v>#NAME?</v>
      </c>
      <c r="L117" s="7" t="e">
        <f ca="1">K117&lt;=Rules!$B$5</f>
        <v>#NAME?</v>
      </c>
      <c r="M117" s="12">
        <v>-4972.1289999999999</v>
      </c>
      <c r="N117" s="12">
        <v>0</v>
      </c>
      <c r="O117" s="12"/>
      <c r="P117" s="12"/>
      <c r="Q117" s="12"/>
      <c r="R117" s="12"/>
      <c r="S117" s="7">
        <v>1</v>
      </c>
      <c r="T117" s="12">
        <v>0</v>
      </c>
      <c r="U117" s="12">
        <v>0</v>
      </c>
      <c r="V117" s="7" t="b">
        <f>T117&lt;=Rules!$B$4</f>
        <v>1</v>
      </c>
      <c r="W117" s="7" t="e">
        <f t="shared" ca="1" si="11"/>
        <v>#NAME?</v>
      </c>
      <c r="X117" s="7">
        <v>4</v>
      </c>
      <c r="Y117" s="14" t="b">
        <v>0</v>
      </c>
      <c r="Z117" s="7" t="s">
        <v>71</v>
      </c>
      <c r="AA117" s="7" t="s">
        <v>72</v>
      </c>
    </row>
    <row r="118" spans="1:27">
      <c r="A118" s="7">
        <v>11</v>
      </c>
      <c r="B118" s="7">
        <v>66</v>
      </c>
      <c r="C118" s="7" t="s">
        <v>23</v>
      </c>
      <c r="D118" s="7" t="s">
        <v>24</v>
      </c>
      <c r="E118" s="7" t="s">
        <v>25</v>
      </c>
      <c r="F118" s="7" t="s">
        <v>70</v>
      </c>
      <c r="G118" s="16">
        <v>0.48183980574470942</v>
      </c>
      <c r="H118" s="16">
        <v>1.9273592229788377</v>
      </c>
      <c r="I118" s="16">
        <v>4</v>
      </c>
      <c r="J118" s="16" t="e">
        <f t="shared" ca="1" si="9"/>
        <v>#NAME?</v>
      </c>
      <c r="K118" s="8" t="e">
        <f t="shared" ca="1" si="10"/>
        <v>#NAME?</v>
      </c>
      <c r="L118" s="7" t="e">
        <f ca="1">K118&lt;=Rules!$B$5</f>
        <v>#NAME?</v>
      </c>
      <c r="M118" s="12">
        <v>-4965.8649999999998</v>
      </c>
      <c r="N118" s="12">
        <v>6.2640000000001237</v>
      </c>
      <c r="O118" s="12">
        <v>-4964.0249999999996</v>
      </c>
      <c r="P118" s="12">
        <v>6.1220000000002983</v>
      </c>
      <c r="Q118" s="12">
        <v>-4968.1850000000004</v>
      </c>
      <c r="R118" s="12">
        <v>2.9589999999998327</v>
      </c>
      <c r="S118" s="7">
        <v>3</v>
      </c>
      <c r="T118" s="12">
        <v>6.1220000000002983</v>
      </c>
      <c r="U118" s="12">
        <v>6.2640000000001237</v>
      </c>
      <c r="V118" s="7" t="b">
        <f>T118&lt;=Rules!$B$4</f>
        <v>0</v>
      </c>
      <c r="W118" s="7" t="e">
        <f t="shared" ca="1" si="11"/>
        <v>#NAME?</v>
      </c>
      <c r="X118" s="7">
        <v>2</v>
      </c>
      <c r="Y118" s="14" t="b">
        <v>0</v>
      </c>
      <c r="Z118" s="7" t="s">
        <v>71</v>
      </c>
      <c r="AA118" s="7" t="s">
        <v>72</v>
      </c>
    </row>
    <row r="119" spans="1:27">
      <c r="A119" s="7">
        <v>11</v>
      </c>
      <c r="B119" s="7">
        <v>66</v>
      </c>
      <c r="C119" s="7" t="s">
        <v>86</v>
      </c>
      <c r="D119" s="7" t="s">
        <v>24</v>
      </c>
      <c r="E119" s="7" t="s">
        <v>35</v>
      </c>
      <c r="F119" s="7" t="s">
        <v>69</v>
      </c>
      <c r="G119" s="16">
        <v>0.48272645247145285</v>
      </c>
      <c r="H119" s="16">
        <v>1.9309058098858114</v>
      </c>
      <c r="I119" s="16">
        <v>4</v>
      </c>
      <c r="J119" s="16" t="e">
        <f t="shared" ca="1" si="9"/>
        <v>#NAME?</v>
      </c>
      <c r="K119" s="8" t="e">
        <f t="shared" ca="1" si="10"/>
        <v>#NAME?</v>
      </c>
      <c r="L119" s="7" t="e">
        <f ca="1">K119&lt;=Rules!$B$5</f>
        <v>#NAME?</v>
      </c>
      <c r="M119" s="12"/>
      <c r="N119" s="12"/>
      <c r="O119" s="12"/>
      <c r="P119" s="12"/>
      <c r="Q119" s="12">
        <v>-4971.1440000000002</v>
      </c>
      <c r="R119" s="12">
        <v>0</v>
      </c>
      <c r="S119" s="7">
        <v>1</v>
      </c>
      <c r="T119" s="12">
        <v>0</v>
      </c>
      <c r="U119" s="12">
        <v>0</v>
      </c>
      <c r="V119" s="7" t="b">
        <f>T119&lt;=Rules!$B$4</f>
        <v>1</v>
      </c>
      <c r="W119" s="7" t="e">
        <f t="shared" ca="1" si="11"/>
        <v>#NAME?</v>
      </c>
      <c r="X119" s="7">
        <v>3</v>
      </c>
      <c r="Y119" s="14" t="b">
        <v>0</v>
      </c>
      <c r="Z119" s="7" t="s">
        <v>71</v>
      </c>
      <c r="AA119" s="7" t="s">
        <v>72</v>
      </c>
    </row>
    <row r="120" spans="1:27">
      <c r="A120" s="7">
        <v>12</v>
      </c>
      <c r="B120" s="7">
        <v>66</v>
      </c>
      <c r="C120" s="7" t="s">
        <v>50</v>
      </c>
      <c r="D120" s="7" t="s">
        <v>51</v>
      </c>
      <c r="E120" s="7" t="s">
        <v>25</v>
      </c>
      <c r="F120" s="7" t="s">
        <v>70</v>
      </c>
      <c r="G120" s="16">
        <v>1.1562194463586306</v>
      </c>
      <c r="H120" s="16">
        <v>4.6248777854345224</v>
      </c>
      <c r="I120" s="16">
        <v>4</v>
      </c>
      <c r="J120" s="16" t="e">
        <f t="shared" ca="1" si="9"/>
        <v>#NAME?</v>
      </c>
      <c r="K120" s="8" t="e">
        <f t="shared" ca="1" si="10"/>
        <v>#NAME?</v>
      </c>
      <c r="L120" s="7" t="e">
        <f ca="1">K120&lt;=Rules!$B$5</f>
        <v>#NAME?</v>
      </c>
      <c r="M120" s="12">
        <v>-7087.9930000000004</v>
      </c>
      <c r="N120" s="12">
        <v>1.2669999999998254</v>
      </c>
      <c r="O120" s="12">
        <v>-7081.2740000000003</v>
      </c>
      <c r="P120" s="12">
        <v>0.84699999999975262</v>
      </c>
      <c r="Q120" s="12"/>
      <c r="R120" s="12"/>
      <c r="S120" s="7">
        <v>2</v>
      </c>
      <c r="T120" s="12">
        <v>1.056999999999789</v>
      </c>
      <c r="U120" s="12">
        <v>1.2669999999998254</v>
      </c>
      <c r="V120" s="7" t="b">
        <f>T120&lt;=Rules!$B$4</f>
        <v>1</v>
      </c>
      <c r="W120" s="7" t="e">
        <f t="shared" ca="1" si="11"/>
        <v>#NAME?</v>
      </c>
      <c r="X120" s="7">
        <v>4</v>
      </c>
      <c r="Y120" s="14" t="b">
        <v>1</v>
      </c>
      <c r="Z120" s="7" t="s">
        <v>21</v>
      </c>
      <c r="AA120" s="7" t="s">
        <v>22</v>
      </c>
    </row>
    <row r="121" spans="1:27">
      <c r="A121" s="7">
        <v>12</v>
      </c>
      <c r="B121" s="7">
        <v>66</v>
      </c>
      <c r="C121" s="7" t="s">
        <v>36</v>
      </c>
      <c r="D121" s="7" t="s">
        <v>37</v>
      </c>
      <c r="E121" s="7" t="s">
        <v>25</v>
      </c>
      <c r="F121" s="7" t="s">
        <v>70</v>
      </c>
      <c r="G121" s="16">
        <v>1.179459880329859</v>
      </c>
      <c r="H121" s="16">
        <v>4.7178395213194362</v>
      </c>
      <c r="I121" s="16">
        <v>4</v>
      </c>
      <c r="J121" s="16" t="e">
        <f t="shared" ca="1" si="9"/>
        <v>#NAME?</v>
      </c>
      <c r="K121" s="8" t="e">
        <f t="shared" ca="1" si="10"/>
        <v>#NAME?</v>
      </c>
      <c r="L121" s="7" t="e">
        <f ca="1">K121&lt;=Rules!$B$5</f>
        <v>#NAME?</v>
      </c>
      <c r="M121" s="12">
        <v>-7089.26</v>
      </c>
      <c r="N121" s="12">
        <v>0</v>
      </c>
      <c r="O121" s="12">
        <v>-7082.1210000000001</v>
      </c>
      <c r="P121" s="12">
        <v>0</v>
      </c>
      <c r="Q121" s="12">
        <v>-7113.1620000000003</v>
      </c>
      <c r="R121" s="12">
        <v>6.4929999999994834</v>
      </c>
      <c r="S121" s="7">
        <v>3</v>
      </c>
      <c r="T121" s="12">
        <v>0</v>
      </c>
      <c r="U121" s="12">
        <v>6.4929999999994834</v>
      </c>
      <c r="V121" s="7" t="b">
        <f>T121&lt;=Rules!$B$4</f>
        <v>1</v>
      </c>
      <c r="W121" s="7" t="e">
        <f t="shared" ca="1" si="11"/>
        <v>#NAME?</v>
      </c>
      <c r="X121" s="7">
        <v>5</v>
      </c>
      <c r="Y121" s="14" t="b">
        <v>0</v>
      </c>
      <c r="Z121" s="7" t="s">
        <v>71</v>
      </c>
      <c r="AA121" s="7" t="s">
        <v>72</v>
      </c>
    </row>
    <row r="122" spans="1:27">
      <c r="A122" s="7">
        <v>12</v>
      </c>
      <c r="B122" s="7">
        <v>66</v>
      </c>
      <c r="C122" s="7" t="s">
        <v>44</v>
      </c>
      <c r="D122" s="7" t="s">
        <v>45</v>
      </c>
      <c r="E122" s="7" t="s">
        <v>25</v>
      </c>
      <c r="F122" s="7" t="s">
        <v>70</v>
      </c>
      <c r="G122" s="16">
        <v>1.213837438608752</v>
      </c>
      <c r="H122" s="16">
        <v>4.8553497544350082</v>
      </c>
      <c r="I122" s="16">
        <v>4</v>
      </c>
      <c r="J122" s="16" t="e">
        <f t="shared" ca="1" si="9"/>
        <v>#NAME?</v>
      </c>
      <c r="K122" s="8" t="e">
        <f t="shared" ca="1" si="10"/>
        <v>#NAME?</v>
      </c>
      <c r="L122" s="7" t="e">
        <f ca="1">K122&lt;=Rules!$B$5</f>
        <v>#NAME?</v>
      </c>
      <c r="M122" s="12"/>
      <c r="N122" s="12"/>
      <c r="O122" s="12"/>
      <c r="P122" s="12"/>
      <c r="Q122" s="12">
        <v>-7119.6549999999997</v>
      </c>
      <c r="R122" s="12">
        <v>0</v>
      </c>
      <c r="S122" s="7">
        <v>1</v>
      </c>
      <c r="T122" s="12">
        <v>0</v>
      </c>
      <c r="U122" s="12">
        <v>0</v>
      </c>
      <c r="V122" s="7" t="b">
        <f>T122&lt;=Rules!$B$4</f>
        <v>1</v>
      </c>
      <c r="W122" s="7" t="e">
        <f t="shared" ca="1" si="11"/>
        <v>#NAME?</v>
      </c>
      <c r="X122" s="7">
        <v>3</v>
      </c>
      <c r="Y122" s="14" t="b">
        <v>0</v>
      </c>
      <c r="Z122" s="7" t="s">
        <v>71</v>
      </c>
      <c r="AA122" s="7" t="s">
        <v>72</v>
      </c>
    </row>
    <row r="123" spans="1:27">
      <c r="A123" s="7">
        <v>13</v>
      </c>
      <c r="B123" s="7">
        <v>66</v>
      </c>
      <c r="C123" s="7" t="s">
        <v>92</v>
      </c>
      <c r="D123" s="7" t="s">
        <v>93</v>
      </c>
      <c r="E123" s="7" t="s">
        <v>89</v>
      </c>
      <c r="F123" s="7" t="s">
        <v>69</v>
      </c>
      <c r="G123" s="16">
        <v>1.8446865811578712</v>
      </c>
      <c r="H123" s="16">
        <v>7.3787463246314848</v>
      </c>
      <c r="I123" s="16">
        <v>4</v>
      </c>
      <c r="J123" s="16" t="e">
        <f t="shared" ca="1" si="9"/>
        <v>#NAME?</v>
      </c>
      <c r="K123" s="8" t="e">
        <f t="shared" ca="1" si="10"/>
        <v>#NAME?</v>
      </c>
      <c r="L123" s="7" t="e">
        <f ca="1">K123&lt;=Rules!$B$5</f>
        <v>#NAME?</v>
      </c>
      <c r="M123" s="12"/>
      <c r="N123" s="12"/>
      <c r="O123" s="12"/>
      <c r="P123" s="12"/>
      <c r="Q123" s="12">
        <v>-2495.4229999999998</v>
      </c>
      <c r="R123" s="12">
        <v>0</v>
      </c>
      <c r="S123" s="7">
        <v>1</v>
      </c>
      <c r="T123" s="12">
        <v>0</v>
      </c>
      <c r="U123" s="12">
        <v>0</v>
      </c>
      <c r="V123" s="7" t="b">
        <f>T123&lt;=Rules!$B$4</f>
        <v>1</v>
      </c>
      <c r="W123" s="7" t="e">
        <f t="shared" ca="1" si="11"/>
        <v>#NAME?</v>
      </c>
      <c r="X123" s="7">
        <v>7</v>
      </c>
      <c r="Y123" s="14" t="b">
        <v>0</v>
      </c>
      <c r="Z123" s="7" t="s">
        <v>71</v>
      </c>
      <c r="AA123" s="7" t="s">
        <v>72</v>
      </c>
    </row>
    <row r="124" spans="1:27">
      <c r="A124" s="7">
        <v>13</v>
      </c>
      <c r="B124" s="7">
        <v>66</v>
      </c>
      <c r="C124" s="7" t="s">
        <v>90</v>
      </c>
      <c r="D124" s="7" t="s">
        <v>91</v>
      </c>
      <c r="E124" s="7" t="s">
        <v>25</v>
      </c>
      <c r="F124" s="7" t="s">
        <v>70</v>
      </c>
      <c r="G124" s="16">
        <v>1.8449023581651272</v>
      </c>
      <c r="H124" s="16">
        <v>7.3796094326605086</v>
      </c>
      <c r="I124" s="16">
        <v>4</v>
      </c>
      <c r="J124" s="16" t="e">
        <f t="shared" ca="1" si="9"/>
        <v>#NAME?</v>
      </c>
      <c r="K124" s="8" t="e">
        <f t="shared" ca="1" si="10"/>
        <v>#NAME?</v>
      </c>
      <c r="L124" s="7" t="e">
        <f ca="1">K124&lt;=Rules!$B$5</f>
        <v>#NAME?</v>
      </c>
      <c r="M124" s="12"/>
      <c r="N124" s="12"/>
      <c r="O124" s="12"/>
      <c r="P124" s="12"/>
      <c r="Q124" s="12">
        <v>-2491.09</v>
      </c>
      <c r="R124" s="12">
        <v>4.3329999999996289</v>
      </c>
      <c r="S124" s="7">
        <v>1</v>
      </c>
      <c r="T124" s="12">
        <v>4.3329999999996289</v>
      </c>
      <c r="U124" s="12">
        <v>4.3329999999996289</v>
      </c>
      <c r="V124" s="7" t="b">
        <f>T124&lt;=Rules!$B$4</f>
        <v>0</v>
      </c>
      <c r="W124" s="7" t="e">
        <f t="shared" ca="1" si="11"/>
        <v>#NAME?</v>
      </c>
      <c r="X124" s="7">
        <v>5</v>
      </c>
      <c r="Y124" s="14" t="b">
        <v>0</v>
      </c>
      <c r="Z124" s="7" t="s">
        <v>71</v>
      </c>
      <c r="AA124" s="7" t="s">
        <v>72</v>
      </c>
    </row>
    <row r="125" spans="1:27">
      <c r="A125" s="7">
        <v>13</v>
      </c>
      <c r="B125" s="7">
        <v>66</v>
      </c>
      <c r="C125" s="7" t="s">
        <v>87</v>
      </c>
      <c r="D125" s="7" t="s">
        <v>88</v>
      </c>
      <c r="E125" s="7" t="s">
        <v>89</v>
      </c>
      <c r="F125" s="7" t="s">
        <v>69</v>
      </c>
      <c r="G125" s="16">
        <v>1.8449037597347211</v>
      </c>
      <c r="H125" s="16">
        <v>7.3796150389388844</v>
      </c>
      <c r="I125" s="16">
        <v>4</v>
      </c>
      <c r="J125" s="16" t="e">
        <f t="shared" ca="1" si="9"/>
        <v>#NAME?</v>
      </c>
      <c r="K125" s="8" t="e">
        <f t="shared" ca="1" si="10"/>
        <v>#NAME?</v>
      </c>
      <c r="L125" s="7" t="e">
        <f ca="1">K125&lt;=Rules!$B$5</f>
        <v>#NAME?</v>
      </c>
      <c r="M125" s="12">
        <v>-2477.2660000000001</v>
      </c>
      <c r="N125" s="12">
        <v>0</v>
      </c>
      <c r="O125" s="12"/>
      <c r="P125" s="12"/>
      <c r="Q125" s="12"/>
      <c r="R125" s="12"/>
      <c r="S125" s="7">
        <v>1</v>
      </c>
      <c r="T125" s="12">
        <v>0</v>
      </c>
      <c r="U125" s="12">
        <v>0</v>
      </c>
      <c r="V125" s="7" t="b">
        <f>T125&lt;=Rules!$B$4</f>
        <v>1</v>
      </c>
      <c r="W125" s="7" t="e">
        <f t="shared" ca="1" si="11"/>
        <v>#NAME?</v>
      </c>
      <c r="X125" s="7">
        <v>8</v>
      </c>
      <c r="Y125" s="14" t="b">
        <v>0</v>
      </c>
      <c r="Z125" s="7" t="s">
        <v>71</v>
      </c>
      <c r="AA125" s="7" t="s">
        <v>72</v>
      </c>
    </row>
    <row r="126" spans="1:27">
      <c r="A126" s="7">
        <v>13</v>
      </c>
      <c r="B126" s="7">
        <v>66</v>
      </c>
      <c r="C126" s="7" t="s">
        <v>38</v>
      </c>
      <c r="D126" s="7" t="s">
        <v>39</v>
      </c>
      <c r="E126" s="7" t="s">
        <v>40</v>
      </c>
      <c r="F126" s="7" t="s">
        <v>69</v>
      </c>
      <c r="G126" s="16">
        <v>1.845651860690773</v>
      </c>
      <c r="H126" s="16">
        <v>7.3826074427630921</v>
      </c>
      <c r="I126" s="16">
        <v>4</v>
      </c>
      <c r="J126" s="16" t="e">
        <f t="shared" ca="1" si="9"/>
        <v>#NAME?</v>
      </c>
      <c r="K126" s="8" t="e">
        <f t="shared" ca="1" si="10"/>
        <v>#NAME?</v>
      </c>
      <c r="L126" s="7" t="e">
        <f ca="1">K126&lt;=Rules!$B$5</f>
        <v>#NAME?</v>
      </c>
      <c r="M126" s="12"/>
      <c r="N126" s="12"/>
      <c r="O126" s="12">
        <v>-2467.8989999999999</v>
      </c>
      <c r="P126" s="12">
        <v>0</v>
      </c>
      <c r="Q126" s="12"/>
      <c r="R126" s="12"/>
      <c r="S126" s="7">
        <v>1</v>
      </c>
      <c r="T126" s="12">
        <v>0</v>
      </c>
      <c r="U126" s="12">
        <v>0</v>
      </c>
      <c r="V126" s="7" t="b">
        <f>T126&lt;=Rules!$B$4</f>
        <v>1</v>
      </c>
      <c r="W126" s="7" t="e">
        <f t="shared" ca="1" si="11"/>
        <v>#NAME?</v>
      </c>
      <c r="X126" s="7">
        <v>6</v>
      </c>
      <c r="Y126" s="14" t="b">
        <v>1</v>
      </c>
      <c r="Z126" s="7" t="s">
        <v>21</v>
      </c>
      <c r="AA126" s="7" t="s">
        <v>22</v>
      </c>
    </row>
    <row r="127" spans="1:27">
      <c r="A127" s="7">
        <v>13</v>
      </c>
      <c r="B127" s="7">
        <v>66</v>
      </c>
      <c r="C127" s="7" t="s">
        <v>47</v>
      </c>
      <c r="D127" s="7" t="s">
        <v>48</v>
      </c>
      <c r="E127" s="7" t="s">
        <v>25</v>
      </c>
      <c r="F127" s="7" t="s">
        <v>70</v>
      </c>
      <c r="G127" s="16">
        <v>1.8464071068313896</v>
      </c>
      <c r="H127" s="16">
        <v>7.3856284273255586</v>
      </c>
      <c r="I127" s="16">
        <v>4</v>
      </c>
      <c r="J127" s="16" t="e">
        <f t="shared" ca="1" si="9"/>
        <v>#NAME?</v>
      </c>
      <c r="K127" s="8" t="e">
        <f t="shared" ca="1" si="10"/>
        <v>#NAME?</v>
      </c>
      <c r="L127" s="7" t="e">
        <f ca="1">K127&lt;=Rules!$B$5</f>
        <v>#NAME?</v>
      </c>
      <c r="M127" s="12">
        <v>-2466.0729999999999</v>
      </c>
      <c r="N127" s="12">
        <v>11.193000000000211</v>
      </c>
      <c r="O127" s="12">
        <v>-2462.3389999999999</v>
      </c>
      <c r="P127" s="12">
        <v>5.5599999999999454</v>
      </c>
      <c r="Q127" s="12"/>
      <c r="R127" s="12"/>
      <c r="S127" s="7">
        <v>2</v>
      </c>
      <c r="T127" s="12">
        <v>8.3765000000000782</v>
      </c>
      <c r="U127" s="12">
        <v>11.193000000000211</v>
      </c>
      <c r="V127" s="7" t="b">
        <f>T127&lt;=Rules!$B$4</f>
        <v>0</v>
      </c>
      <c r="W127" s="7" t="e">
        <f t="shared" ca="1" si="11"/>
        <v>#NAME?</v>
      </c>
      <c r="X127" s="7">
        <v>3</v>
      </c>
      <c r="Y127" s="14" t="b">
        <v>0</v>
      </c>
      <c r="Z127" s="7" t="s">
        <v>71</v>
      </c>
      <c r="AA127" s="7" t="s">
        <v>72</v>
      </c>
    </row>
    <row r="128" spans="1:27">
      <c r="A128" s="7">
        <v>1</v>
      </c>
      <c r="B128" s="7">
        <v>132</v>
      </c>
      <c r="C128" s="7" t="s">
        <v>41</v>
      </c>
      <c r="D128" s="7" t="s">
        <v>19</v>
      </c>
      <c r="E128" s="7" t="s">
        <v>25</v>
      </c>
      <c r="F128" s="7" t="s">
        <v>70</v>
      </c>
      <c r="G128" s="16">
        <v>0.15547893407594704</v>
      </c>
      <c r="H128" s="16">
        <v>0.31095786815189408</v>
      </c>
      <c r="I128" s="16">
        <v>2</v>
      </c>
      <c r="J128" s="16" t="e">
        <f t="shared" ca="1" si="9"/>
        <v>#NAME?</v>
      </c>
      <c r="K128" s="8" t="e">
        <f t="shared" ca="1" si="10"/>
        <v>#NAME?</v>
      </c>
      <c r="L128" s="7" t="e">
        <f ca="1">K128&lt;=Rules!$B$5</f>
        <v>#NAME?</v>
      </c>
      <c r="M128" s="12">
        <v>-3842.27</v>
      </c>
      <c r="N128" s="12">
        <v>2.5100000000002183</v>
      </c>
      <c r="O128" s="12">
        <v>-3836.0250000000001</v>
      </c>
      <c r="P128" s="12">
        <v>0.94299999999975626</v>
      </c>
      <c r="Q128" s="12">
        <v>-3857.1959999999999</v>
      </c>
      <c r="R128" s="12">
        <v>1.6550000000002001</v>
      </c>
      <c r="S128" s="7">
        <v>3</v>
      </c>
      <c r="T128" s="12">
        <v>1.6550000000002001</v>
      </c>
      <c r="U128" s="12">
        <v>2.5100000000002183</v>
      </c>
      <c r="V128" s="7" t="b">
        <f>T128&lt;=Rules!$B$4</f>
        <v>1</v>
      </c>
      <c r="W128" s="7" t="e">
        <f t="shared" ca="1" si="11"/>
        <v>#NAME?</v>
      </c>
      <c r="X128" s="7">
        <v>3</v>
      </c>
      <c r="Y128" s="14" t="b">
        <v>1</v>
      </c>
      <c r="Z128" s="7" t="s">
        <v>21</v>
      </c>
      <c r="AA128" s="7" t="s">
        <v>22</v>
      </c>
    </row>
    <row r="129" spans="1:27">
      <c r="A129" s="7">
        <v>1</v>
      </c>
      <c r="B129" s="7">
        <v>132</v>
      </c>
      <c r="C129" s="7" t="s">
        <v>18</v>
      </c>
      <c r="D129" s="7" t="s">
        <v>19</v>
      </c>
      <c r="E129" s="7" t="s">
        <v>20</v>
      </c>
      <c r="F129" s="7" t="s">
        <v>69</v>
      </c>
      <c r="G129" s="16">
        <v>0.16281477094488106</v>
      </c>
      <c r="H129" s="16">
        <v>0.32562954188976212</v>
      </c>
      <c r="I129" s="16">
        <v>2</v>
      </c>
      <c r="J129" s="16" t="e">
        <f t="shared" ca="1" si="9"/>
        <v>#NAME?</v>
      </c>
      <c r="K129" s="8" t="e">
        <f t="shared" ca="1" si="10"/>
        <v>#NAME?</v>
      </c>
      <c r="L129" s="7" t="e">
        <f ca="1">K129&lt;=Rules!$B$5</f>
        <v>#NAME?</v>
      </c>
      <c r="M129" s="12">
        <v>-3844.78</v>
      </c>
      <c r="N129" s="12">
        <v>0</v>
      </c>
      <c r="O129" s="12">
        <v>-3836.9679999999998</v>
      </c>
      <c r="P129" s="12">
        <v>0</v>
      </c>
      <c r="Q129" s="12">
        <v>-3858.8510000000001</v>
      </c>
      <c r="R129" s="12">
        <v>0</v>
      </c>
      <c r="S129" s="7">
        <v>3</v>
      </c>
      <c r="T129" s="12">
        <v>0</v>
      </c>
      <c r="U129" s="12">
        <v>0</v>
      </c>
      <c r="V129" s="7" t="b">
        <f>T129&lt;=Rules!$B$4</f>
        <v>1</v>
      </c>
      <c r="W129" s="7" t="e">
        <f t="shared" ca="1" si="11"/>
        <v>#NAME?</v>
      </c>
      <c r="X129" s="7">
        <v>4</v>
      </c>
      <c r="Y129" s="14" t="b">
        <v>0</v>
      </c>
      <c r="Z129" s="7" t="s">
        <v>71</v>
      </c>
      <c r="AA129" s="7" t="s">
        <v>72</v>
      </c>
    </row>
    <row r="130" spans="1:27">
      <c r="A130" s="7">
        <v>2</v>
      </c>
      <c r="B130" s="7">
        <v>132</v>
      </c>
      <c r="C130" s="7" t="s">
        <v>23</v>
      </c>
      <c r="D130" s="7" t="s">
        <v>24</v>
      </c>
      <c r="E130" s="7" t="s">
        <v>25</v>
      </c>
      <c r="F130" s="7" t="s">
        <v>70</v>
      </c>
      <c r="G130" s="16">
        <v>0.19188415806862227</v>
      </c>
      <c r="H130" s="16">
        <v>0.38376831613724455</v>
      </c>
      <c r="I130" s="16">
        <v>2</v>
      </c>
      <c r="J130" s="16" t="e">
        <f t="shared" ca="1" si="9"/>
        <v>#NAME?</v>
      </c>
      <c r="K130" s="8" t="e">
        <f t="shared" ca="1" si="10"/>
        <v>#NAME?</v>
      </c>
      <c r="L130" s="7" t="e">
        <f ca="1">K130&lt;=Rules!$B$5</f>
        <v>#NAME?</v>
      </c>
      <c r="M130" s="12">
        <v>-4426.0010000000002</v>
      </c>
      <c r="N130" s="12">
        <v>0</v>
      </c>
      <c r="O130" s="12">
        <v>-4425.0050000000001</v>
      </c>
      <c r="P130" s="12">
        <v>0</v>
      </c>
      <c r="Q130" s="12">
        <v>-4432.2709999999997</v>
      </c>
      <c r="R130" s="12">
        <v>0</v>
      </c>
      <c r="S130" s="7">
        <v>3</v>
      </c>
      <c r="T130" s="12">
        <v>0</v>
      </c>
      <c r="U130" s="12">
        <v>0</v>
      </c>
      <c r="V130" s="7" t="b">
        <f>T130&lt;=Rules!$B$4</f>
        <v>1</v>
      </c>
      <c r="W130" s="7" t="e">
        <f t="shared" ca="1" si="11"/>
        <v>#NAME?</v>
      </c>
      <c r="X130" s="7">
        <v>2</v>
      </c>
      <c r="Y130" s="14" t="b">
        <v>1</v>
      </c>
      <c r="Z130" s="7" t="s">
        <v>21</v>
      </c>
      <c r="AA130" s="7" t="s">
        <v>22</v>
      </c>
    </row>
    <row r="131" spans="1:27">
      <c r="A131" s="7">
        <v>3</v>
      </c>
      <c r="B131" s="7">
        <v>132</v>
      </c>
      <c r="C131" s="7" t="s">
        <v>23</v>
      </c>
      <c r="D131" s="7" t="s">
        <v>24</v>
      </c>
      <c r="E131" s="7" t="s">
        <v>25</v>
      </c>
      <c r="F131" s="7" t="s">
        <v>70</v>
      </c>
      <c r="G131" s="16">
        <v>0.15601655488874028</v>
      </c>
      <c r="H131" s="16">
        <v>0.31203310977748056</v>
      </c>
      <c r="I131" s="16">
        <v>2</v>
      </c>
      <c r="J131" s="16" t="e">
        <f t="shared" ca="1" si="9"/>
        <v>#NAME?</v>
      </c>
      <c r="K131" s="8" t="e">
        <f t="shared" ca="1" si="10"/>
        <v>#NAME?</v>
      </c>
      <c r="L131" s="7" t="e">
        <f ca="1">K131&lt;=Rules!$B$5</f>
        <v>#NAME?</v>
      </c>
      <c r="M131" s="12">
        <v>-4494.5609999999997</v>
      </c>
      <c r="N131" s="12">
        <v>1.4170000000003711</v>
      </c>
      <c r="O131" s="12">
        <v>-4479.2820000000002</v>
      </c>
      <c r="P131" s="12">
        <v>1.5799999999999272</v>
      </c>
      <c r="Q131" s="12">
        <v>-4529.1369999999997</v>
      </c>
      <c r="R131" s="12">
        <v>1.3800000000001091</v>
      </c>
      <c r="S131" s="7">
        <v>3</v>
      </c>
      <c r="T131" s="12">
        <v>1.4170000000003711</v>
      </c>
      <c r="U131" s="12">
        <v>1.5799999999999272</v>
      </c>
      <c r="V131" s="7" t="b">
        <f>T131&lt;=Rules!$B$4</f>
        <v>1</v>
      </c>
      <c r="W131" s="7" t="e">
        <f t="shared" ca="1" si="11"/>
        <v>#NAME?</v>
      </c>
      <c r="X131" s="7">
        <v>2</v>
      </c>
      <c r="Y131" s="14" t="b">
        <v>1</v>
      </c>
      <c r="Z131" s="7" t="s">
        <v>21</v>
      </c>
      <c r="AA131" s="7" t="s">
        <v>22</v>
      </c>
    </row>
    <row r="132" spans="1:27">
      <c r="A132" s="7">
        <v>3</v>
      </c>
      <c r="B132" s="7">
        <v>132</v>
      </c>
      <c r="C132" s="7" t="s">
        <v>73</v>
      </c>
      <c r="D132" s="7" t="s">
        <v>24</v>
      </c>
      <c r="E132" s="7" t="s">
        <v>40</v>
      </c>
      <c r="F132" s="7" t="s">
        <v>69</v>
      </c>
      <c r="G132" s="16">
        <v>0.15624916375857784</v>
      </c>
      <c r="H132" s="16">
        <v>0.31249832751715567</v>
      </c>
      <c r="I132" s="16">
        <v>2</v>
      </c>
      <c r="J132" s="16" t="e">
        <f t="shared" ca="1" si="9"/>
        <v>#NAME?</v>
      </c>
      <c r="K132" s="8" t="e">
        <f t="shared" ca="1" si="10"/>
        <v>#NAME?</v>
      </c>
      <c r="L132" s="7" t="e">
        <f ca="1">K132&lt;=Rules!$B$5</f>
        <v>#NAME?</v>
      </c>
      <c r="M132" s="12">
        <v>-4495.9780000000001</v>
      </c>
      <c r="N132" s="12">
        <v>0</v>
      </c>
      <c r="O132" s="12">
        <v>-4480.8620000000001</v>
      </c>
      <c r="P132" s="12">
        <v>0</v>
      </c>
      <c r="Q132" s="12">
        <v>-4530.5169999999998</v>
      </c>
      <c r="R132" s="12">
        <v>0</v>
      </c>
      <c r="S132" s="7">
        <v>3</v>
      </c>
      <c r="T132" s="12">
        <v>0</v>
      </c>
      <c r="U132" s="12">
        <v>0</v>
      </c>
      <c r="V132" s="7" t="b">
        <f>T132&lt;=Rules!$B$4</f>
        <v>1</v>
      </c>
      <c r="W132" s="7" t="e">
        <f t="shared" ca="1" si="11"/>
        <v>#NAME?</v>
      </c>
      <c r="X132" s="7">
        <v>4</v>
      </c>
      <c r="Y132" s="14" t="b">
        <v>0</v>
      </c>
      <c r="Z132" s="7" t="s">
        <v>71</v>
      </c>
      <c r="AA132" s="7" t="s">
        <v>72</v>
      </c>
    </row>
    <row r="133" spans="1:27">
      <c r="A133" s="7">
        <v>4</v>
      </c>
      <c r="B133" s="7">
        <v>132</v>
      </c>
      <c r="C133" s="7" t="s">
        <v>32</v>
      </c>
      <c r="D133" s="7" t="s">
        <v>33</v>
      </c>
      <c r="E133" s="7" t="s">
        <v>25</v>
      </c>
      <c r="F133" s="7" t="s">
        <v>70</v>
      </c>
      <c r="G133" s="16">
        <v>0.17296132361809313</v>
      </c>
      <c r="H133" s="16">
        <v>0.34592264723618626</v>
      </c>
      <c r="I133" s="16">
        <v>2</v>
      </c>
      <c r="J133" s="16" t="e">
        <f t="shared" ref="J133:J168" ca="1" si="12">_xludf.MINIFS($G$5:$G$168,$A$5:$A$168,A133,$B$5:$B$168,B133)</f>
        <v>#NAME?</v>
      </c>
      <c r="K133" s="8" t="e">
        <f t="shared" ref="K133:K164" ca="1" si="13">IF(J133=0,0,(G133-J133)/J133)</f>
        <v>#NAME?</v>
      </c>
      <c r="L133" s="7" t="e">
        <f ca="1">K133&lt;=Rules!$B$5</f>
        <v>#NAME?</v>
      </c>
      <c r="M133" s="12">
        <v>-3772.0070000000001</v>
      </c>
      <c r="N133" s="12">
        <v>0</v>
      </c>
      <c r="O133" s="12">
        <v>-3771.1190000000001</v>
      </c>
      <c r="P133" s="12">
        <v>0</v>
      </c>
      <c r="Q133" s="12"/>
      <c r="R133" s="12"/>
      <c r="S133" s="7">
        <v>2</v>
      </c>
      <c r="T133" s="12">
        <v>0</v>
      </c>
      <c r="U133" s="12">
        <v>0</v>
      </c>
      <c r="V133" s="7" t="b">
        <f>T133&lt;=Rules!$B$4</f>
        <v>1</v>
      </c>
      <c r="W133" s="7" t="e">
        <f t="shared" ref="W133:W164" ca="1" si="14">AND(L133,V133)</f>
        <v>#NAME?</v>
      </c>
      <c r="X133" s="7">
        <v>2</v>
      </c>
      <c r="Y133" s="14" t="b">
        <v>1</v>
      </c>
      <c r="Z133" s="7" t="s">
        <v>21</v>
      </c>
      <c r="AA133" s="7" t="s">
        <v>22</v>
      </c>
    </row>
    <row r="134" spans="1:27">
      <c r="A134" s="7">
        <v>4</v>
      </c>
      <c r="B134" s="7">
        <v>132</v>
      </c>
      <c r="C134" s="7" t="s">
        <v>26</v>
      </c>
      <c r="D134" s="7" t="s">
        <v>27</v>
      </c>
      <c r="E134" s="7" t="s">
        <v>25</v>
      </c>
      <c r="F134" s="7" t="s">
        <v>70</v>
      </c>
      <c r="G134" s="16">
        <v>0.17658098371787387</v>
      </c>
      <c r="H134" s="16">
        <v>0.35316196743574774</v>
      </c>
      <c r="I134" s="16">
        <v>2</v>
      </c>
      <c r="J134" s="16" t="e">
        <f t="shared" ca="1" si="12"/>
        <v>#NAME?</v>
      </c>
      <c r="K134" s="8" t="e">
        <f t="shared" ca="1" si="13"/>
        <v>#NAME?</v>
      </c>
      <c r="L134" s="7" t="e">
        <f ca="1">K134&lt;=Rules!$B$5</f>
        <v>#NAME?</v>
      </c>
      <c r="M134" s="12"/>
      <c r="N134" s="12"/>
      <c r="O134" s="12"/>
      <c r="P134" s="12"/>
      <c r="Q134" s="12">
        <v>-3808.904</v>
      </c>
      <c r="R134" s="12">
        <v>0</v>
      </c>
      <c r="S134" s="7">
        <v>1</v>
      </c>
      <c r="T134" s="12">
        <v>0</v>
      </c>
      <c r="U134" s="12">
        <v>0</v>
      </c>
      <c r="V134" s="7" t="b">
        <f>T134&lt;=Rules!$B$4</f>
        <v>1</v>
      </c>
      <c r="W134" s="7" t="e">
        <f t="shared" ca="1" si="14"/>
        <v>#NAME?</v>
      </c>
      <c r="X134" s="7">
        <v>1</v>
      </c>
      <c r="Y134" s="14" t="b">
        <v>0</v>
      </c>
      <c r="Z134" s="7" t="s">
        <v>71</v>
      </c>
      <c r="AA134" s="7" t="s">
        <v>72</v>
      </c>
    </row>
    <row r="135" spans="1:27">
      <c r="A135" s="7">
        <v>5</v>
      </c>
      <c r="B135" s="7">
        <v>132</v>
      </c>
      <c r="C135" s="7" t="s">
        <v>28</v>
      </c>
      <c r="D135" s="7" t="s">
        <v>29</v>
      </c>
      <c r="E135" s="7" t="s">
        <v>25</v>
      </c>
      <c r="F135" s="7" t="s">
        <v>70</v>
      </c>
      <c r="G135" s="16">
        <v>0.13982612161879876</v>
      </c>
      <c r="H135" s="16">
        <v>0.27965224323759752</v>
      </c>
      <c r="I135" s="16">
        <v>2</v>
      </c>
      <c r="J135" s="16" t="e">
        <f t="shared" ca="1" si="12"/>
        <v>#NAME?</v>
      </c>
      <c r="K135" s="8" t="e">
        <f t="shared" ca="1" si="13"/>
        <v>#NAME?</v>
      </c>
      <c r="L135" s="7" t="e">
        <f ca="1">K135&lt;=Rules!$B$5</f>
        <v>#NAME?</v>
      </c>
      <c r="M135" s="12">
        <v>-4942.74</v>
      </c>
      <c r="N135" s="12">
        <v>0</v>
      </c>
      <c r="O135" s="12">
        <v>-4940.97</v>
      </c>
      <c r="P135" s="12">
        <v>0</v>
      </c>
      <c r="Q135" s="12"/>
      <c r="R135" s="12"/>
      <c r="S135" s="7">
        <v>2</v>
      </c>
      <c r="T135" s="12">
        <v>0</v>
      </c>
      <c r="U135" s="12">
        <v>0</v>
      </c>
      <c r="V135" s="7" t="b">
        <f>T135&lt;=Rules!$B$4</f>
        <v>1</v>
      </c>
      <c r="W135" s="7" t="e">
        <f t="shared" ca="1" si="14"/>
        <v>#NAME?</v>
      </c>
      <c r="X135" s="7">
        <v>3</v>
      </c>
      <c r="Y135" s="14" t="b">
        <v>1</v>
      </c>
      <c r="Z135" s="7" t="s">
        <v>21</v>
      </c>
      <c r="AA135" s="7" t="s">
        <v>22</v>
      </c>
    </row>
    <row r="136" spans="1:27">
      <c r="A136" s="7">
        <v>5</v>
      </c>
      <c r="B136" s="7">
        <v>132</v>
      </c>
      <c r="C136" s="7" t="s">
        <v>74</v>
      </c>
      <c r="D136" s="7" t="s">
        <v>75</v>
      </c>
      <c r="E136" s="7" t="s">
        <v>25</v>
      </c>
      <c r="F136" s="7" t="s">
        <v>70</v>
      </c>
      <c r="G136" s="16">
        <v>0.14043434281187836</v>
      </c>
      <c r="H136" s="16">
        <v>0.28086868562375672</v>
      </c>
      <c r="I136" s="16">
        <v>2</v>
      </c>
      <c r="J136" s="16" t="e">
        <f t="shared" ca="1" si="12"/>
        <v>#NAME?</v>
      </c>
      <c r="K136" s="8" t="e">
        <f t="shared" ca="1" si="13"/>
        <v>#NAME?</v>
      </c>
      <c r="L136" s="7" t="e">
        <f ca="1">K136&lt;=Rules!$B$5</f>
        <v>#NAME?</v>
      </c>
      <c r="M136" s="12"/>
      <c r="N136" s="12"/>
      <c r="O136" s="12"/>
      <c r="P136" s="12"/>
      <c r="Q136" s="12">
        <v>-4948.9049999999997</v>
      </c>
      <c r="R136" s="12">
        <v>0</v>
      </c>
      <c r="S136" s="7">
        <v>1</v>
      </c>
      <c r="T136" s="12">
        <v>0</v>
      </c>
      <c r="U136" s="12">
        <v>0</v>
      </c>
      <c r="V136" s="7" t="b">
        <f>T136&lt;=Rules!$B$4</f>
        <v>1</v>
      </c>
      <c r="W136" s="7" t="e">
        <f t="shared" ca="1" si="14"/>
        <v>#NAME?</v>
      </c>
      <c r="X136" s="7">
        <v>4</v>
      </c>
      <c r="Y136" s="14" t="b">
        <v>0</v>
      </c>
      <c r="Z136" s="7" t="s">
        <v>71</v>
      </c>
      <c r="AA136" s="7" t="s">
        <v>72</v>
      </c>
    </row>
    <row r="137" spans="1:27">
      <c r="A137" s="7">
        <v>5</v>
      </c>
      <c r="B137" s="7">
        <v>132</v>
      </c>
      <c r="C137" s="7" t="s">
        <v>50</v>
      </c>
      <c r="D137" s="7" t="s">
        <v>51</v>
      </c>
      <c r="E137" s="7" t="s">
        <v>25</v>
      </c>
      <c r="F137" s="7" t="s">
        <v>70</v>
      </c>
      <c r="G137" s="16">
        <v>0.26308645895209426</v>
      </c>
      <c r="H137" s="16">
        <v>0.52617291790418852</v>
      </c>
      <c r="I137" s="16">
        <v>2</v>
      </c>
      <c r="J137" s="16" t="e">
        <f t="shared" ca="1" si="12"/>
        <v>#NAME?</v>
      </c>
      <c r="K137" s="8" t="e">
        <f t="shared" ca="1" si="13"/>
        <v>#NAME?</v>
      </c>
      <c r="L137" s="7" t="e">
        <f ca="1">K137&lt;=Rules!$B$5</f>
        <v>#NAME?</v>
      </c>
      <c r="M137" s="12">
        <v>-4907.3909999999996</v>
      </c>
      <c r="N137" s="12">
        <v>35.34900000000016</v>
      </c>
      <c r="O137" s="12"/>
      <c r="P137" s="12"/>
      <c r="Q137" s="12"/>
      <c r="R137" s="12"/>
      <c r="S137" s="7">
        <v>1</v>
      </c>
      <c r="T137" s="12">
        <v>35.34900000000016</v>
      </c>
      <c r="U137" s="12">
        <v>35.34900000000016</v>
      </c>
      <c r="V137" s="7" t="b">
        <f>T137&lt;=Rules!$B$4</f>
        <v>0</v>
      </c>
      <c r="W137" s="7" t="e">
        <f t="shared" ca="1" si="14"/>
        <v>#NAME?</v>
      </c>
      <c r="X137" s="7">
        <v>4</v>
      </c>
      <c r="Y137" s="14" t="b">
        <v>0</v>
      </c>
      <c r="Z137" s="7" t="s">
        <v>71</v>
      </c>
      <c r="AA137" s="7" t="s">
        <v>72</v>
      </c>
    </row>
    <row r="138" spans="1:27">
      <c r="A138" s="7">
        <v>5</v>
      </c>
      <c r="B138" s="7">
        <v>132</v>
      </c>
      <c r="C138" s="7" t="s">
        <v>76</v>
      </c>
      <c r="D138" s="7" t="s">
        <v>77</v>
      </c>
      <c r="E138" s="7" t="s">
        <v>20</v>
      </c>
      <c r="F138" s="7" t="s">
        <v>69</v>
      </c>
      <c r="G138" s="16">
        <v>0.47953344912570262</v>
      </c>
      <c r="H138" s="16">
        <v>0.95906689825140523</v>
      </c>
      <c r="I138" s="16">
        <v>2</v>
      </c>
      <c r="J138" s="16" t="e">
        <f t="shared" ca="1" si="12"/>
        <v>#NAME?</v>
      </c>
      <c r="K138" s="8" t="e">
        <f t="shared" ca="1" si="13"/>
        <v>#NAME?</v>
      </c>
      <c r="L138" s="7" t="e">
        <f ca="1">K138&lt;=Rules!$B$5</f>
        <v>#NAME?</v>
      </c>
      <c r="M138" s="12"/>
      <c r="N138" s="12"/>
      <c r="O138" s="12">
        <v>-4836.3519999999999</v>
      </c>
      <c r="P138" s="12">
        <v>104.61800000000039</v>
      </c>
      <c r="Q138" s="12"/>
      <c r="R138" s="12"/>
      <c r="S138" s="7">
        <v>1</v>
      </c>
      <c r="T138" s="12">
        <v>104.61800000000039</v>
      </c>
      <c r="U138" s="12">
        <v>104.61800000000039</v>
      </c>
      <c r="V138" s="7" t="b">
        <f>T138&lt;=Rules!$B$4</f>
        <v>0</v>
      </c>
      <c r="W138" s="7" t="e">
        <f t="shared" ca="1" si="14"/>
        <v>#NAME?</v>
      </c>
      <c r="X138" s="7">
        <v>3</v>
      </c>
      <c r="Y138" s="14" t="b">
        <v>0</v>
      </c>
      <c r="Z138" s="7" t="s">
        <v>71</v>
      </c>
      <c r="AA138" s="7" t="s">
        <v>72</v>
      </c>
    </row>
    <row r="139" spans="1:27">
      <c r="A139" s="7">
        <v>5</v>
      </c>
      <c r="B139" s="7">
        <v>132</v>
      </c>
      <c r="C139" s="7" t="s">
        <v>78</v>
      </c>
      <c r="D139" s="7" t="s">
        <v>79</v>
      </c>
      <c r="E139" s="7" t="s">
        <v>20</v>
      </c>
      <c r="F139" s="7" t="s">
        <v>69</v>
      </c>
      <c r="G139" s="16">
        <v>1.2111232010534616</v>
      </c>
      <c r="H139" s="16">
        <v>2.4222464021069232</v>
      </c>
      <c r="I139" s="16">
        <v>2</v>
      </c>
      <c r="J139" s="16" t="e">
        <f t="shared" ca="1" si="12"/>
        <v>#NAME?</v>
      </c>
      <c r="K139" s="8" t="e">
        <f t="shared" ca="1" si="13"/>
        <v>#NAME?</v>
      </c>
      <c r="L139" s="7" t="e">
        <f ca="1">K139&lt;=Rules!$B$5</f>
        <v>#NAME?</v>
      </c>
      <c r="M139" s="12"/>
      <c r="N139" s="12"/>
      <c r="O139" s="12"/>
      <c r="P139" s="12"/>
      <c r="Q139" s="12">
        <v>-4853.3149999999996</v>
      </c>
      <c r="R139" s="12">
        <v>95.590000000000146</v>
      </c>
      <c r="S139" s="7">
        <v>1</v>
      </c>
      <c r="T139" s="12">
        <v>95.590000000000146</v>
      </c>
      <c r="U139" s="12">
        <v>95.590000000000146</v>
      </c>
      <c r="V139" s="7" t="b">
        <f>T139&lt;=Rules!$B$4</f>
        <v>0</v>
      </c>
      <c r="W139" s="7" t="e">
        <f t="shared" ca="1" si="14"/>
        <v>#NAME?</v>
      </c>
      <c r="X139" s="7">
        <v>2</v>
      </c>
      <c r="Y139" s="14" t="b">
        <v>0</v>
      </c>
      <c r="Z139" s="7" t="s">
        <v>71</v>
      </c>
      <c r="AA139" s="7" t="s">
        <v>72</v>
      </c>
    </row>
    <row r="140" spans="1:27">
      <c r="A140" s="7">
        <v>6</v>
      </c>
      <c r="B140" s="7">
        <v>132</v>
      </c>
      <c r="C140" s="7" t="s">
        <v>80</v>
      </c>
      <c r="D140" s="7" t="s">
        <v>27</v>
      </c>
      <c r="E140" s="7" t="s">
        <v>81</v>
      </c>
      <c r="F140" s="7" t="s">
        <v>69</v>
      </c>
      <c r="G140" s="16">
        <v>0.1622658222013576</v>
      </c>
      <c r="H140" s="16">
        <v>0.3245316444027152</v>
      </c>
      <c r="I140" s="16">
        <v>2</v>
      </c>
      <c r="J140" s="16" t="e">
        <f t="shared" ca="1" si="12"/>
        <v>#NAME?</v>
      </c>
      <c r="K140" s="8" t="e">
        <f t="shared" ca="1" si="13"/>
        <v>#NAME?</v>
      </c>
      <c r="L140" s="7" t="e">
        <f ca="1">K140&lt;=Rules!$B$5</f>
        <v>#NAME?</v>
      </c>
      <c r="M140" s="12"/>
      <c r="N140" s="12"/>
      <c r="O140" s="12"/>
      <c r="P140" s="12"/>
      <c r="Q140" s="12">
        <v>-6150.4690000000001</v>
      </c>
      <c r="R140" s="12">
        <v>1.5950000000002547</v>
      </c>
      <c r="S140" s="7">
        <v>1</v>
      </c>
      <c r="T140" s="12">
        <v>1.5950000000002547</v>
      </c>
      <c r="U140" s="12">
        <v>1.5950000000002547</v>
      </c>
      <c r="V140" s="7" t="b">
        <f>T140&lt;=Rules!$B$4</f>
        <v>1</v>
      </c>
      <c r="W140" s="7" t="e">
        <f t="shared" ca="1" si="14"/>
        <v>#NAME?</v>
      </c>
      <c r="X140" s="7">
        <v>3</v>
      </c>
      <c r="Y140" s="14" t="b">
        <v>0</v>
      </c>
      <c r="Z140" s="7" t="s">
        <v>71</v>
      </c>
      <c r="AA140" s="7" t="s">
        <v>72</v>
      </c>
    </row>
    <row r="141" spans="1:27">
      <c r="A141" s="7">
        <v>6</v>
      </c>
      <c r="B141" s="7">
        <v>132</v>
      </c>
      <c r="C141" s="7" t="s">
        <v>26</v>
      </c>
      <c r="D141" s="7" t="s">
        <v>27</v>
      </c>
      <c r="E141" s="7" t="s">
        <v>25</v>
      </c>
      <c r="F141" s="7" t="s">
        <v>70</v>
      </c>
      <c r="G141" s="16">
        <v>0.16240691905087826</v>
      </c>
      <c r="H141" s="16">
        <v>0.32481383810175651</v>
      </c>
      <c r="I141" s="16">
        <v>2</v>
      </c>
      <c r="J141" s="16" t="e">
        <f t="shared" ca="1" si="12"/>
        <v>#NAME?</v>
      </c>
      <c r="K141" s="8" t="e">
        <f t="shared" ca="1" si="13"/>
        <v>#NAME?</v>
      </c>
      <c r="L141" s="7" t="e">
        <f ca="1">K141&lt;=Rules!$B$5</f>
        <v>#NAME?</v>
      </c>
      <c r="M141" s="12">
        <v>-6105.4229999999998</v>
      </c>
      <c r="N141" s="12">
        <v>0</v>
      </c>
      <c r="O141" s="12">
        <v>-6094.1440000000002</v>
      </c>
      <c r="P141" s="12">
        <v>0</v>
      </c>
      <c r="Q141" s="12"/>
      <c r="R141" s="12"/>
      <c r="S141" s="7">
        <v>2</v>
      </c>
      <c r="T141" s="12">
        <v>0</v>
      </c>
      <c r="U141" s="12">
        <v>0</v>
      </c>
      <c r="V141" s="7" t="b">
        <f>T141&lt;=Rules!$B$4</f>
        <v>1</v>
      </c>
      <c r="W141" s="7" t="e">
        <f t="shared" ca="1" si="14"/>
        <v>#NAME?</v>
      </c>
      <c r="X141" s="7">
        <v>1</v>
      </c>
      <c r="Y141" s="14" t="b">
        <v>1</v>
      </c>
      <c r="Z141" s="7" t="s">
        <v>21</v>
      </c>
      <c r="AA141" s="7" t="s">
        <v>22</v>
      </c>
    </row>
    <row r="142" spans="1:27">
      <c r="A142" s="7">
        <v>6</v>
      </c>
      <c r="B142" s="7">
        <v>132</v>
      </c>
      <c r="C142" s="7" t="s">
        <v>30</v>
      </c>
      <c r="D142" s="7" t="s">
        <v>31</v>
      </c>
      <c r="E142" s="7" t="s">
        <v>25</v>
      </c>
      <c r="F142" s="7" t="s">
        <v>70</v>
      </c>
      <c r="G142" s="16">
        <v>0.16564264134571388</v>
      </c>
      <c r="H142" s="16">
        <v>0.33128528269142776</v>
      </c>
      <c r="I142" s="16">
        <v>2</v>
      </c>
      <c r="J142" s="16" t="e">
        <f t="shared" ca="1" si="12"/>
        <v>#NAME?</v>
      </c>
      <c r="K142" s="8" t="e">
        <f t="shared" ca="1" si="13"/>
        <v>#NAME?</v>
      </c>
      <c r="L142" s="7" t="e">
        <f ca="1">K142&lt;=Rules!$B$5</f>
        <v>#NAME?</v>
      </c>
      <c r="M142" s="12"/>
      <c r="N142" s="12"/>
      <c r="O142" s="12"/>
      <c r="P142" s="12"/>
      <c r="Q142" s="12">
        <v>-6152.0640000000003</v>
      </c>
      <c r="R142" s="12">
        <v>0</v>
      </c>
      <c r="S142" s="7">
        <v>1</v>
      </c>
      <c r="T142" s="12">
        <v>0</v>
      </c>
      <c r="U142" s="12">
        <v>0</v>
      </c>
      <c r="V142" s="7" t="b">
        <f>T142&lt;=Rules!$B$4</f>
        <v>1</v>
      </c>
      <c r="W142" s="7" t="e">
        <f t="shared" ca="1" si="14"/>
        <v>#NAME?</v>
      </c>
      <c r="X142" s="7">
        <v>3</v>
      </c>
      <c r="Y142" s="14" t="b">
        <v>0</v>
      </c>
      <c r="Z142" s="7" t="s">
        <v>71</v>
      </c>
      <c r="AA142" s="7" t="s">
        <v>72</v>
      </c>
    </row>
    <row r="143" spans="1:27">
      <c r="A143" s="7">
        <v>7</v>
      </c>
      <c r="B143" s="7">
        <v>132</v>
      </c>
      <c r="C143" s="7" t="s">
        <v>46</v>
      </c>
      <c r="D143" s="7" t="s">
        <v>27</v>
      </c>
      <c r="E143" s="7" t="s">
        <v>20</v>
      </c>
      <c r="F143" s="7" t="s">
        <v>69</v>
      </c>
      <c r="G143" s="16">
        <v>0.34938996755868268</v>
      </c>
      <c r="H143" s="16">
        <v>0.69877993511736536</v>
      </c>
      <c r="I143" s="16">
        <v>2</v>
      </c>
      <c r="J143" s="16" t="e">
        <f t="shared" ca="1" si="12"/>
        <v>#NAME?</v>
      </c>
      <c r="K143" s="8" t="e">
        <f t="shared" ca="1" si="13"/>
        <v>#NAME?</v>
      </c>
      <c r="L143" s="7" t="e">
        <f ca="1">K143&lt;=Rules!$B$5</f>
        <v>#NAME?</v>
      </c>
      <c r="M143" s="12">
        <v>-7439.28</v>
      </c>
      <c r="N143" s="12">
        <v>0</v>
      </c>
      <c r="O143" s="12">
        <v>-7436.1180000000004</v>
      </c>
      <c r="P143" s="12">
        <v>0</v>
      </c>
      <c r="Q143" s="12"/>
      <c r="R143" s="12"/>
      <c r="S143" s="7">
        <v>2</v>
      </c>
      <c r="T143" s="12">
        <v>0</v>
      </c>
      <c r="U143" s="12">
        <v>0</v>
      </c>
      <c r="V143" s="7" t="b">
        <f>T143&lt;=Rules!$B$4</f>
        <v>1</v>
      </c>
      <c r="W143" s="7" t="e">
        <f t="shared" ca="1" si="14"/>
        <v>#NAME?</v>
      </c>
      <c r="X143" s="7">
        <v>2</v>
      </c>
      <c r="Y143" s="14" t="b">
        <v>1</v>
      </c>
      <c r="Z143" s="7" t="s">
        <v>21</v>
      </c>
      <c r="AA143" s="7" t="s">
        <v>22</v>
      </c>
    </row>
    <row r="144" spans="1:27">
      <c r="A144" s="7">
        <v>7</v>
      </c>
      <c r="B144" s="7">
        <v>132</v>
      </c>
      <c r="C144" s="7" t="s">
        <v>32</v>
      </c>
      <c r="D144" s="7" t="s">
        <v>33</v>
      </c>
      <c r="E144" s="7" t="s">
        <v>25</v>
      </c>
      <c r="F144" s="7" t="s">
        <v>70</v>
      </c>
      <c r="G144" s="16">
        <v>0.35535796326374386</v>
      </c>
      <c r="H144" s="16">
        <v>0.71071592652748772</v>
      </c>
      <c r="I144" s="16">
        <v>2</v>
      </c>
      <c r="J144" s="16" t="e">
        <f t="shared" ca="1" si="12"/>
        <v>#NAME?</v>
      </c>
      <c r="K144" s="8" t="e">
        <f t="shared" ca="1" si="13"/>
        <v>#NAME?</v>
      </c>
      <c r="L144" s="7" t="e">
        <f ca="1">K144&lt;=Rules!$B$5</f>
        <v>#NAME?</v>
      </c>
      <c r="M144" s="12">
        <v>-7430.7910000000002</v>
      </c>
      <c r="N144" s="12">
        <v>8.488999999999578</v>
      </c>
      <c r="O144" s="12"/>
      <c r="P144" s="12"/>
      <c r="Q144" s="12"/>
      <c r="R144" s="12"/>
      <c r="S144" s="7">
        <v>1</v>
      </c>
      <c r="T144" s="12">
        <v>8.488999999999578</v>
      </c>
      <c r="U144" s="12">
        <v>8.488999999999578</v>
      </c>
      <c r="V144" s="7" t="b">
        <f>T144&lt;=Rules!$B$4</f>
        <v>0</v>
      </c>
      <c r="W144" s="7" t="e">
        <f t="shared" ca="1" si="14"/>
        <v>#NAME?</v>
      </c>
      <c r="X144" s="7">
        <v>2</v>
      </c>
      <c r="Y144" s="14" t="b">
        <v>0</v>
      </c>
      <c r="Z144" s="7" t="s">
        <v>71</v>
      </c>
      <c r="AA144" s="7" t="s">
        <v>72</v>
      </c>
    </row>
    <row r="145" spans="1:27">
      <c r="A145" s="7">
        <v>7</v>
      </c>
      <c r="B145" s="7">
        <v>132</v>
      </c>
      <c r="C145" s="7" t="s">
        <v>26</v>
      </c>
      <c r="D145" s="7" t="s">
        <v>27</v>
      </c>
      <c r="E145" s="7" t="s">
        <v>25</v>
      </c>
      <c r="F145" s="7" t="s">
        <v>70</v>
      </c>
      <c r="G145" s="16">
        <v>0.35578465744430848</v>
      </c>
      <c r="H145" s="16">
        <v>0.71156931488861697</v>
      </c>
      <c r="I145" s="16">
        <v>2</v>
      </c>
      <c r="J145" s="16" t="e">
        <f t="shared" ca="1" si="12"/>
        <v>#NAME?</v>
      </c>
      <c r="K145" s="8" t="e">
        <f t="shared" ca="1" si="13"/>
        <v>#NAME?</v>
      </c>
      <c r="L145" s="7" t="e">
        <f ca="1">K145&lt;=Rules!$B$5</f>
        <v>#NAME?</v>
      </c>
      <c r="M145" s="12"/>
      <c r="N145" s="12"/>
      <c r="O145" s="12">
        <v>-7435.07</v>
      </c>
      <c r="P145" s="12">
        <v>1.0480000000006839</v>
      </c>
      <c r="Q145" s="12"/>
      <c r="R145" s="12"/>
      <c r="S145" s="7">
        <v>1</v>
      </c>
      <c r="T145" s="12">
        <v>1.0480000000006839</v>
      </c>
      <c r="U145" s="12">
        <v>1.0480000000006839</v>
      </c>
      <c r="V145" s="7" t="b">
        <f>T145&lt;=Rules!$B$4</f>
        <v>1</v>
      </c>
      <c r="W145" s="7" t="e">
        <f t="shared" ca="1" si="14"/>
        <v>#NAME?</v>
      </c>
      <c r="X145" s="7">
        <v>1</v>
      </c>
      <c r="Y145" s="14" t="b">
        <v>0</v>
      </c>
      <c r="Z145" s="7" t="s">
        <v>71</v>
      </c>
      <c r="AA145" s="7" t="s">
        <v>72</v>
      </c>
    </row>
    <row r="146" spans="1:27">
      <c r="A146" s="7">
        <v>7</v>
      </c>
      <c r="B146" s="7">
        <v>132</v>
      </c>
      <c r="C146" s="7" t="s">
        <v>41</v>
      </c>
      <c r="D146" s="7" t="s">
        <v>19</v>
      </c>
      <c r="E146" s="7" t="s">
        <v>25</v>
      </c>
      <c r="F146" s="7" t="s">
        <v>70</v>
      </c>
      <c r="G146" s="16">
        <v>0.35598171360093778</v>
      </c>
      <c r="H146" s="16">
        <v>0.71196342720187555</v>
      </c>
      <c r="I146" s="16">
        <v>2</v>
      </c>
      <c r="J146" s="16" t="e">
        <f t="shared" ca="1" si="12"/>
        <v>#NAME?</v>
      </c>
      <c r="K146" s="8" t="e">
        <f t="shared" ca="1" si="13"/>
        <v>#NAME?</v>
      </c>
      <c r="L146" s="7" t="e">
        <f ca="1">K146&lt;=Rules!$B$5</f>
        <v>#NAME?</v>
      </c>
      <c r="M146" s="12"/>
      <c r="N146" s="12"/>
      <c r="O146" s="12"/>
      <c r="P146" s="12"/>
      <c r="Q146" s="12">
        <v>-7458.3680000000004</v>
      </c>
      <c r="R146" s="12">
        <v>0</v>
      </c>
      <c r="S146" s="7">
        <v>1</v>
      </c>
      <c r="T146" s="12">
        <v>0</v>
      </c>
      <c r="U146" s="12">
        <v>0</v>
      </c>
      <c r="V146" s="7" t="b">
        <f>T146&lt;=Rules!$B$4</f>
        <v>1</v>
      </c>
      <c r="W146" s="7" t="e">
        <f t="shared" ca="1" si="14"/>
        <v>#NAME?</v>
      </c>
      <c r="X146" s="7">
        <v>3</v>
      </c>
      <c r="Y146" s="14" t="b">
        <v>0</v>
      </c>
      <c r="Z146" s="7" t="s">
        <v>71</v>
      </c>
      <c r="AA146" s="7" t="s">
        <v>72</v>
      </c>
    </row>
    <row r="147" spans="1:27">
      <c r="A147" s="7">
        <v>8</v>
      </c>
      <c r="B147" s="7">
        <v>132</v>
      </c>
      <c r="C147" s="7" t="s">
        <v>83</v>
      </c>
      <c r="D147" s="7" t="s">
        <v>39</v>
      </c>
      <c r="E147" s="7" t="s">
        <v>25</v>
      </c>
      <c r="F147" s="7" t="s">
        <v>70</v>
      </c>
      <c r="G147" s="16">
        <v>0.28750623799453445</v>
      </c>
      <c r="H147" s="16">
        <v>0.57501247598906891</v>
      </c>
      <c r="I147" s="16">
        <v>2</v>
      </c>
      <c r="J147" s="16" t="e">
        <f t="shared" ca="1" si="12"/>
        <v>#NAME?</v>
      </c>
      <c r="K147" s="8" t="e">
        <f t="shared" ca="1" si="13"/>
        <v>#NAME?</v>
      </c>
      <c r="L147" s="7" t="e">
        <f ca="1">K147&lt;=Rules!$B$5</f>
        <v>#NAME?</v>
      </c>
      <c r="M147" s="12"/>
      <c r="N147" s="12"/>
      <c r="O147" s="12">
        <v>-6206.5540000000001</v>
      </c>
      <c r="P147" s="12">
        <v>0</v>
      </c>
      <c r="Q147" s="12"/>
      <c r="R147" s="12"/>
      <c r="S147" s="7">
        <v>1</v>
      </c>
      <c r="T147" s="12">
        <v>0</v>
      </c>
      <c r="U147" s="12">
        <v>0</v>
      </c>
      <c r="V147" s="7" t="b">
        <f>T147&lt;=Rules!$B$4</f>
        <v>1</v>
      </c>
      <c r="W147" s="7" t="e">
        <f t="shared" ca="1" si="14"/>
        <v>#NAME?</v>
      </c>
      <c r="X147" s="7">
        <v>4</v>
      </c>
      <c r="Y147" s="14" t="b">
        <v>0</v>
      </c>
      <c r="Z147" s="7" t="s">
        <v>71</v>
      </c>
      <c r="AA147" s="7" t="s">
        <v>72</v>
      </c>
    </row>
    <row r="148" spans="1:27">
      <c r="A148" s="7">
        <v>8</v>
      </c>
      <c r="B148" s="7">
        <v>132</v>
      </c>
      <c r="C148" s="7" t="s">
        <v>23</v>
      </c>
      <c r="D148" s="7" t="s">
        <v>24</v>
      </c>
      <c r="E148" s="7" t="s">
        <v>25</v>
      </c>
      <c r="F148" s="7" t="s">
        <v>70</v>
      </c>
      <c r="G148" s="16">
        <v>0.28943159147806785</v>
      </c>
      <c r="H148" s="16">
        <v>0.5788631829561357</v>
      </c>
      <c r="I148" s="16">
        <v>2</v>
      </c>
      <c r="J148" s="16" t="e">
        <f t="shared" ca="1" si="12"/>
        <v>#NAME?</v>
      </c>
      <c r="K148" s="8" t="e">
        <f t="shared" ca="1" si="13"/>
        <v>#NAME?</v>
      </c>
      <c r="L148" s="7" t="e">
        <f ca="1">K148&lt;=Rules!$B$5</f>
        <v>#NAME?</v>
      </c>
      <c r="M148" s="12">
        <v>-6206.3540000000003</v>
      </c>
      <c r="N148" s="12">
        <v>0</v>
      </c>
      <c r="O148" s="12">
        <v>-6205.3410000000003</v>
      </c>
      <c r="P148" s="12">
        <v>1.2129999999997381</v>
      </c>
      <c r="Q148" s="12"/>
      <c r="R148" s="12"/>
      <c r="S148" s="7">
        <v>2</v>
      </c>
      <c r="T148" s="12">
        <v>0.60649999999986903</v>
      </c>
      <c r="U148" s="12">
        <v>1.2129999999997381</v>
      </c>
      <c r="V148" s="7" t="b">
        <f>T148&lt;=Rules!$B$4</f>
        <v>1</v>
      </c>
      <c r="W148" s="7" t="e">
        <f t="shared" ca="1" si="14"/>
        <v>#NAME?</v>
      </c>
      <c r="X148" s="7">
        <v>2</v>
      </c>
      <c r="Y148" s="14" t="b">
        <v>1</v>
      </c>
      <c r="Z148" s="7" t="s">
        <v>21</v>
      </c>
      <c r="AA148" s="7" t="s">
        <v>22</v>
      </c>
    </row>
    <row r="149" spans="1:27">
      <c r="A149" s="7">
        <v>8</v>
      </c>
      <c r="B149" s="7">
        <v>132</v>
      </c>
      <c r="C149" s="7" t="s">
        <v>82</v>
      </c>
      <c r="D149" s="7" t="s">
        <v>27</v>
      </c>
      <c r="E149" s="7" t="s">
        <v>35</v>
      </c>
      <c r="F149" s="7" t="s">
        <v>69</v>
      </c>
      <c r="G149" s="16">
        <v>0.29810265905146471</v>
      </c>
      <c r="H149" s="16">
        <v>0.59620531810292943</v>
      </c>
      <c r="I149" s="16">
        <v>2</v>
      </c>
      <c r="J149" s="16" t="e">
        <f t="shared" ca="1" si="12"/>
        <v>#NAME?</v>
      </c>
      <c r="K149" s="8" t="e">
        <f t="shared" ca="1" si="13"/>
        <v>#NAME?</v>
      </c>
      <c r="L149" s="7" t="e">
        <f ca="1">K149&lt;=Rules!$B$5</f>
        <v>#NAME?</v>
      </c>
      <c r="M149" s="12"/>
      <c r="N149" s="12"/>
      <c r="O149" s="12"/>
      <c r="P149" s="12"/>
      <c r="Q149" s="12">
        <v>-6217.2420000000002</v>
      </c>
      <c r="R149" s="12">
        <v>0</v>
      </c>
      <c r="S149" s="7">
        <v>1</v>
      </c>
      <c r="T149" s="12">
        <v>0</v>
      </c>
      <c r="U149" s="12">
        <v>0</v>
      </c>
      <c r="V149" s="7" t="b">
        <f>T149&lt;=Rules!$B$4</f>
        <v>1</v>
      </c>
      <c r="W149" s="7" t="e">
        <f t="shared" ca="1" si="14"/>
        <v>#NAME?</v>
      </c>
      <c r="X149" s="7">
        <v>2</v>
      </c>
      <c r="Y149" s="14" t="b">
        <v>0</v>
      </c>
      <c r="Z149" s="7" t="s">
        <v>71</v>
      </c>
      <c r="AA149" s="7" t="s">
        <v>72</v>
      </c>
    </row>
    <row r="150" spans="1:27">
      <c r="A150" s="7">
        <v>8</v>
      </c>
      <c r="B150" s="7">
        <v>132</v>
      </c>
      <c r="C150" s="7" t="s">
        <v>26</v>
      </c>
      <c r="D150" s="7" t="s">
        <v>27</v>
      </c>
      <c r="E150" s="7" t="s">
        <v>25</v>
      </c>
      <c r="F150" s="7" t="s">
        <v>70</v>
      </c>
      <c r="G150" s="16">
        <v>0.30131572126933748</v>
      </c>
      <c r="H150" s="16">
        <v>0.60263144253867496</v>
      </c>
      <c r="I150" s="16">
        <v>2</v>
      </c>
      <c r="J150" s="16" t="e">
        <f t="shared" ca="1" si="12"/>
        <v>#NAME?</v>
      </c>
      <c r="K150" s="8" t="e">
        <f t="shared" ca="1" si="13"/>
        <v>#NAME?</v>
      </c>
      <c r="L150" s="7" t="e">
        <f ca="1">K150&lt;=Rules!$B$5</f>
        <v>#NAME?</v>
      </c>
      <c r="M150" s="12"/>
      <c r="N150" s="12"/>
      <c r="O150" s="12"/>
      <c r="P150" s="12"/>
      <c r="Q150" s="12">
        <v>-6216.7330000000002</v>
      </c>
      <c r="R150" s="12">
        <v>0.50900000000001455</v>
      </c>
      <c r="S150" s="7">
        <v>1</v>
      </c>
      <c r="T150" s="12">
        <v>0.50900000000001455</v>
      </c>
      <c r="U150" s="12">
        <v>0.50900000000001455</v>
      </c>
      <c r="V150" s="7" t="b">
        <f>T150&lt;=Rules!$B$4</f>
        <v>1</v>
      </c>
      <c r="W150" s="7" t="e">
        <f t="shared" ca="1" si="14"/>
        <v>#NAME?</v>
      </c>
      <c r="X150" s="7">
        <v>1</v>
      </c>
      <c r="Y150" s="14" t="b">
        <v>0</v>
      </c>
      <c r="Z150" s="7" t="s">
        <v>71</v>
      </c>
      <c r="AA150" s="7" t="s">
        <v>72</v>
      </c>
    </row>
    <row r="151" spans="1:27">
      <c r="A151" s="7">
        <v>9</v>
      </c>
      <c r="B151" s="7">
        <v>132</v>
      </c>
      <c r="C151" s="7" t="s">
        <v>84</v>
      </c>
      <c r="D151" s="7" t="s">
        <v>85</v>
      </c>
      <c r="E151" s="7" t="s">
        <v>25</v>
      </c>
      <c r="F151" s="7" t="s">
        <v>70</v>
      </c>
      <c r="G151" s="16">
        <v>0.30482367405265254</v>
      </c>
      <c r="H151" s="16">
        <v>0.60964734810530508</v>
      </c>
      <c r="I151" s="16">
        <v>2</v>
      </c>
      <c r="J151" s="16" t="e">
        <f t="shared" ca="1" si="12"/>
        <v>#NAME?</v>
      </c>
      <c r="K151" s="8" t="e">
        <f t="shared" ca="1" si="13"/>
        <v>#NAME?</v>
      </c>
      <c r="L151" s="7" t="e">
        <f ca="1">K151&lt;=Rules!$B$5</f>
        <v>#NAME?</v>
      </c>
      <c r="M151" s="12">
        <v>-5830.9520000000002</v>
      </c>
      <c r="N151" s="12">
        <v>0</v>
      </c>
      <c r="O151" s="12"/>
      <c r="P151" s="12"/>
      <c r="Q151" s="12"/>
      <c r="R151" s="12"/>
      <c r="S151" s="7">
        <v>1</v>
      </c>
      <c r="T151" s="12">
        <v>0</v>
      </c>
      <c r="U151" s="12">
        <v>0</v>
      </c>
      <c r="V151" s="7" t="b">
        <f>T151&lt;=Rules!$B$4</f>
        <v>1</v>
      </c>
      <c r="W151" s="7" t="e">
        <f t="shared" ca="1" si="14"/>
        <v>#NAME?</v>
      </c>
      <c r="X151" s="7">
        <v>4</v>
      </c>
      <c r="Y151" s="14" t="b">
        <v>0</v>
      </c>
      <c r="Z151" s="7" t="s">
        <v>71</v>
      </c>
      <c r="AA151" s="7" t="s">
        <v>72</v>
      </c>
    </row>
    <row r="152" spans="1:27">
      <c r="A152" s="7">
        <v>9</v>
      </c>
      <c r="B152" s="7">
        <v>132</v>
      </c>
      <c r="C152" s="7" t="s">
        <v>26</v>
      </c>
      <c r="D152" s="7" t="s">
        <v>27</v>
      </c>
      <c r="E152" s="7" t="s">
        <v>25</v>
      </c>
      <c r="F152" s="7" t="s">
        <v>70</v>
      </c>
      <c r="G152" s="16">
        <v>0.30539548328368971</v>
      </c>
      <c r="H152" s="16">
        <v>0.61079096656737941</v>
      </c>
      <c r="I152" s="16">
        <v>2</v>
      </c>
      <c r="J152" s="16" t="e">
        <f t="shared" ca="1" si="12"/>
        <v>#NAME?</v>
      </c>
      <c r="K152" s="8" t="e">
        <f t="shared" ca="1" si="13"/>
        <v>#NAME?</v>
      </c>
      <c r="L152" s="7" t="e">
        <f ca="1">K152&lt;=Rules!$B$5</f>
        <v>#NAME?</v>
      </c>
      <c r="M152" s="12"/>
      <c r="N152" s="12"/>
      <c r="O152" s="12">
        <v>-5821.4449999999997</v>
      </c>
      <c r="P152" s="12">
        <v>7.3800000000001091</v>
      </c>
      <c r="Q152" s="12"/>
      <c r="R152" s="12"/>
      <c r="S152" s="7">
        <v>1</v>
      </c>
      <c r="T152" s="12">
        <v>7.3800000000001091</v>
      </c>
      <c r="U152" s="12">
        <v>7.3800000000001091</v>
      </c>
      <c r="V152" s="7" t="b">
        <f>T152&lt;=Rules!$B$4</f>
        <v>0</v>
      </c>
      <c r="W152" s="7" t="e">
        <f t="shared" ca="1" si="14"/>
        <v>#NAME?</v>
      </c>
      <c r="X152" s="7">
        <v>1</v>
      </c>
      <c r="Y152" s="14" t="b">
        <v>0</v>
      </c>
      <c r="Z152" s="7" t="s">
        <v>71</v>
      </c>
      <c r="AA152" s="7" t="s">
        <v>72</v>
      </c>
    </row>
    <row r="153" spans="1:27">
      <c r="A153" s="7">
        <v>9</v>
      </c>
      <c r="B153" s="7">
        <v>132</v>
      </c>
      <c r="C153" s="7" t="s">
        <v>47</v>
      </c>
      <c r="D153" s="7" t="s">
        <v>48</v>
      </c>
      <c r="E153" s="7" t="s">
        <v>25</v>
      </c>
      <c r="F153" s="7" t="s">
        <v>70</v>
      </c>
      <c r="G153" s="16">
        <v>0.30672070379594923</v>
      </c>
      <c r="H153" s="16">
        <v>0.61344140759189847</v>
      </c>
      <c r="I153" s="16">
        <v>2</v>
      </c>
      <c r="J153" s="16" t="e">
        <f t="shared" ca="1" si="12"/>
        <v>#NAME?</v>
      </c>
      <c r="K153" s="8" t="e">
        <f t="shared" ca="1" si="13"/>
        <v>#NAME?</v>
      </c>
      <c r="L153" s="7" t="e">
        <f ca="1">K153&lt;=Rules!$B$5</f>
        <v>#NAME?</v>
      </c>
      <c r="M153" s="12"/>
      <c r="N153" s="12"/>
      <c r="O153" s="12"/>
      <c r="P153" s="12"/>
      <c r="Q153" s="12">
        <v>-5834.7139999999999</v>
      </c>
      <c r="R153" s="12">
        <v>0</v>
      </c>
      <c r="S153" s="7">
        <v>1</v>
      </c>
      <c r="T153" s="12">
        <v>0</v>
      </c>
      <c r="U153" s="12">
        <v>0</v>
      </c>
      <c r="V153" s="7" t="b">
        <f>T153&lt;=Rules!$B$4</f>
        <v>1</v>
      </c>
      <c r="W153" s="7" t="e">
        <f t="shared" ca="1" si="14"/>
        <v>#NAME?</v>
      </c>
      <c r="X153" s="7">
        <v>3</v>
      </c>
      <c r="Y153" s="14" t="b">
        <v>1</v>
      </c>
      <c r="Z153" s="7" t="s">
        <v>21</v>
      </c>
      <c r="AA153" s="7" t="s">
        <v>22</v>
      </c>
    </row>
    <row r="154" spans="1:27">
      <c r="A154" s="7">
        <v>9</v>
      </c>
      <c r="B154" s="7">
        <v>132</v>
      </c>
      <c r="C154" s="7" t="s">
        <v>30</v>
      </c>
      <c r="D154" s="7" t="s">
        <v>31</v>
      </c>
      <c r="E154" s="7" t="s">
        <v>25</v>
      </c>
      <c r="F154" s="7" t="s">
        <v>70</v>
      </c>
      <c r="G154" s="16">
        <v>0.30712192236765734</v>
      </c>
      <c r="H154" s="16">
        <v>0.61424384473531468</v>
      </c>
      <c r="I154" s="16">
        <v>2</v>
      </c>
      <c r="J154" s="16" t="e">
        <f t="shared" ca="1" si="12"/>
        <v>#NAME?</v>
      </c>
      <c r="K154" s="8" t="e">
        <f t="shared" ca="1" si="13"/>
        <v>#NAME?</v>
      </c>
      <c r="L154" s="7" t="e">
        <f ca="1">K154&lt;=Rules!$B$5</f>
        <v>#NAME?</v>
      </c>
      <c r="M154" s="12"/>
      <c r="N154" s="12"/>
      <c r="O154" s="12">
        <v>-5828.8249999999998</v>
      </c>
      <c r="P154" s="12">
        <v>0</v>
      </c>
      <c r="Q154" s="12"/>
      <c r="R154" s="12"/>
      <c r="S154" s="7">
        <v>1</v>
      </c>
      <c r="T154" s="12">
        <v>0</v>
      </c>
      <c r="U154" s="12">
        <v>0</v>
      </c>
      <c r="V154" s="7" t="b">
        <f>T154&lt;=Rules!$B$4</f>
        <v>1</v>
      </c>
      <c r="W154" s="7" t="e">
        <f t="shared" ca="1" si="14"/>
        <v>#NAME?</v>
      </c>
      <c r="X154" s="7">
        <v>3</v>
      </c>
      <c r="Y154" s="14" t="b">
        <v>0</v>
      </c>
      <c r="Z154" s="7" t="s">
        <v>71</v>
      </c>
      <c r="AA154" s="7" t="s">
        <v>72</v>
      </c>
    </row>
    <row r="155" spans="1:27">
      <c r="A155" s="7">
        <v>10</v>
      </c>
      <c r="B155" s="7">
        <v>132</v>
      </c>
      <c r="C155" s="7" t="s">
        <v>49</v>
      </c>
      <c r="D155" s="7" t="s">
        <v>33</v>
      </c>
      <c r="E155" s="7" t="s">
        <v>40</v>
      </c>
      <c r="F155" s="7" t="s">
        <v>69</v>
      </c>
      <c r="G155" s="16">
        <v>0.15465937853811643</v>
      </c>
      <c r="H155" s="16">
        <v>0.30931875707623285</v>
      </c>
      <c r="I155" s="16">
        <v>2</v>
      </c>
      <c r="J155" s="16" t="e">
        <f t="shared" ca="1" si="12"/>
        <v>#NAME?</v>
      </c>
      <c r="K155" s="8" t="e">
        <f t="shared" ca="1" si="13"/>
        <v>#NAME?</v>
      </c>
      <c r="L155" s="7" t="e">
        <f ca="1">K155&lt;=Rules!$B$5</f>
        <v>#NAME?</v>
      </c>
      <c r="M155" s="12"/>
      <c r="N155" s="12"/>
      <c r="O155" s="12">
        <v>-4241.3869999999997</v>
      </c>
      <c r="P155" s="12">
        <v>0</v>
      </c>
      <c r="Q155" s="12"/>
      <c r="R155" s="12"/>
      <c r="S155" s="7">
        <v>1</v>
      </c>
      <c r="T155" s="12">
        <v>0</v>
      </c>
      <c r="U155" s="12">
        <v>0</v>
      </c>
      <c r="V155" s="7" t="b">
        <f>T155&lt;=Rules!$B$4</f>
        <v>1</v>
      </c>
      <c r="W155" s="7" t="e">
        <f t="shared" ca="1" si="14"/>
        <v>#NAME?</v>
      </c>
      <c r="X155" s="7">
        <v>4</v>
      </c>
      <c r="Y155" s="14" t="b">
        <v>1</v>
      </c>
      <c r="Z155" s="7" t="s">
        <v>21</v>
      </c>
      <c r="AA155" s="7" t="s">
        <v>22</v>
      </c>
    </row>
    <row r="156" spans="1:27">
      <c r="A156" s="7">
        <v>10</v>
      </c>
      <c r="B156" s="7">
        <v>132</v>
      </c>
      <c r="C156" s="7" t="s">
        <v>32</v>
      </c>
      <c r="D156" s="7" t="s">
        <v>33</v>
      </c>
      <c r="E156" s="7" t="s">
        <v>25</v>
      </c>
      <c r="F156" s="7" t="s">
        <v>70</v>
      </c>
      <c r="G156" s="16">
        <v>0.15690553679437394</v>
      </c>
      <c r="H156" s="16">
        <v>0.31381107358874788</v>
      </c>
      <c r="I156" s="16">
        <v>2</v>
      </c>
      <c r="J156" s="16" t="e">
        <f t="shared" ca="1" si="12"/>
        <v>#NAME?</v>
      </c>
      <c r="K156" s="8" t="e">
        <f t="shared" ca="1" si="13"/>
        <v>#NAME?</v>
      </c>
      <c r="L156" s="7" t="e">
        <f ca="1">K156&lt;=Rules!$B$5</f>
        <v>#NAME?</v>
      </c>
      <c r="M156" s="12">
        <v>-4245.5609999999997</v>
      </c>
      <c r="N156" s="12">
        <v>0</v>
      </c>
      <c r="O156" s="12">
        <v>-4241.2579999999998</v>
      </c>
      <c r="P156" s="12">
        <v>0.12899999999990541</v>
      </c>
      <c r="Q156" s="12">
        <v>-4258.7700000000004</v>
      </c>
      <c r="R156" s="12">
        <v>0</v>
      </c>
      <c r="S156" s="7">
        <v>3</v>
      </c>
      <c r="T156" s="12">
        <v>0</v>
      </c>
      <c r="U156" s="12">
        <v>0.12899999999990541</v>
      </c>
      <c r="V156" s="7" t="b">
        <f>T156&lt;=Rules!$B$4</f>
        <v>1</v>
      </c>
      <c r="W156" s="7" t="e">
        <f t="shared" ca="1" si="14"/>
        <v>#NAME?</v>
      </c>
      <c r="X156" s="7">
        <v>2</v>
      </c>
      <c r="Y156" s="14" t="b">
        <v>0</v>
      </c>
      <c r="Z156" s="7" t="s">
        <v>71</v>
      </c>
      <c r="AA156" s="7" t="s">
        <v>72</v>
      </c>
    </row>
    <row r="157" spans="1:27">
      <c r="A157" s="7">
        <v>11</v>
      </c>
      <c r="B157" s="7">
        <v>132</v>
      </c>
      <c r="C157" s="7" t="s">
        <v>18</v>
      </c>
      <c r="D157" s="7" t="s">
        <v>19</v>
      </c>
      <c r="E157" s="7" t="s">
        <v>20</v>
      </c>
      <c r="F157" s="7" t="s">
        <v>69</v>
      </c>
      <c r="G157" s="16">
        <v>0.43549616155646809</v>
      </c>
      <c r="H157" s="16">
        <v>0.87099232311293617</v>
      </c>
      <c r="I157" s="16">
        <v>2</v>
      </c>
      <c r="J157" s="16" t="e">
        <f t="shared" ca="1" si="12"/>
        <v>#NAME?</v>
      </c>
      <c r="K157" s="8" t="e">
        <f t="shared" ca="1" si="13"/>
        <v>#NAME?</v>
      </c>
      <c r="L157" s="7" t="e">
        <f ca="1">K157&lt;=Rules!$B$5</f>
        <v>#NAME?</v>
      </c>
      <c r="M157" s="12"/>
      <c r="N157" s="12"/>
      <c r="O157" s="12">
        <v>-4970.1469999999999</v>
      </c>
      <c r="P157" s="12">
        <v>0</v>
      </c>
      <c r="Q157" s="12"/>
      <c r="R157" s="12"/>
      <c r="S157" s="7">
        <v>1</v>
      </c>
      <c r="T157" s="12">
        <v>0</v>
      </c>
      <c r="U157" s="12">
        <v>0</v>
      </c>
      <c r="V157" s="7" t="b">
        <f>T157&lt;=Rules!$B$4</f>
        <v>1</v>
      </c>
      <c r="W157" s="7" t="e">
        <f t="shared" ca="1" si="14"/>
        <v>#NAME?</v>
      </c>
      <c r="X157" s="7">
        <v>4</v>
      </c>
      <c r="Y157" s="14" t="b">
        <v>1</v>
      </c>
      <c r="Z157" s="7" t="s">
        <v>21</v>
      </c>
      <c r="AA157" s="7" t="s">
        <v>22</v>
      </c>
    </row>
    <row r="158" spans="1:27">
      <c r="A158" s="7">
        <v>11</v>
      </c>
      <c r="B158" s="7">
        <v>132</v>
      </c>
      <c r="C158" s="7" t="s">
        <v>34</v>
      </c>
      <c r="D158" s="7" t="s">
        <v>19</v>
      </c>
      <c r="E158" s="7" t="s">
        <v>35</v>
      </c>
      <c r="F158" s="7" t="s">
        <v>69</v>
      </c>
      <c r="G158" s="16">
        <v>0.43913297432359799</v>
      </c>
      <c r="H158" s="16">
        <v>0.87826594864719598</v>
      </c>
      <c r="I158" s="16">
        <v>2</v>
      </c>
      <c r="J158" s="16" t="e">
        <f t="shared" ca="1" si="12"/>
        <v>#NAME?</v>
      </c>
      <c r="K158" s="8" t="e">
        <f t="shared" ca="1" si="13"/>
        <v>#NAME?</v>
      </c>
      <c r="L158" s="7" t="e">
        <f ca="1">K158&lt;=Rules!$B$5</f>
        <v>#NAME?</v>
      </c>
      <c r="M158" s="12">
        <v>-4972.1289999999999</v>
      </c>
      <c r="N158" s="12">
        <v>0</v>
      </c>
      <c r="O158" s="12"/>
      <c r="P158" s="12"/>
      <c r="Q158" s="12"/>
      <c r="R158" s="12"/>
      <c r="S158" s="7">
        <v>1</v>
      </c>
      <c r="T158" s="12">
        <v>0</v>
      </c>
      <c r="U158" s="12">
        <v>0</v>
      </c>
      <c r="V158" s="7" t="b">
        <f>T158&lt;=Rules!$B$4</f>
        <v>1</v>
      </c>
      <c r="W158" s="7" t="e">
        <f t="shared" ca="1" si="14"/>
        <v>#NAME?</v>
      </c>
      <c r="X158" s="7">
        <v>4</v>
      </c>
      <c r="Y158" s="14" t="b">
        <v>0</v>
      </c>
      <c r="Z158" s="7" t="s">
        <v>71</v>
      </c>
      <c r="AA158" s="7" t="s">
        <v>72</v>
      </c>
    </row>
    <row r="159" spans="1:27">
      <c r="A159" s="7">
        <v>11</v>
      </c>
      <c r="B159" s="7">
        <v>132</v>
      </c>
      <c r="C159" s="7" t="s">
        <v>23</v>
      </c>
      <c r="D159" s="7" t="s">
        <v>24</v>
      </c>
      <c r="E159" s="7" t="s">
        <v>25</v>
      </c>
      <c r="F159" s="7" t="s">
        <v>70</v>
      </c>
      <c r="G159" s="16">
        <v>0.46137353932073721</v>
      </c>
      <c r="H159" s="16">
        <v>0.92274707864147443</v>
      </c>
      <c r="I159" s="16">
        <v>2</v>
      </c>
      <c r="J159" s="16" t="e">
        <f t="shared" ca="1" si="12"/>
        <v>#NAME?</v>
      </c>
      <c r="K159" s="8" t="e">
        <f t="shared" ca="1" si="13"/>
        <v>#NAME?</v>
      </c>
      <c r="L159" s="7" t="e">
        <f ca="1">K159&lt;=Rules!$B$5</f>
        <v>#NAME?</v>
      </c>
      <c r="M159" s="12">
        <v>-4965.8649999999998</v>
      </c>
      <c r="N159" s="12">
        <v>6.2640000000001237</v>
      </c>
      <c r="O159" s="12">
        <v>-4964.0249999999996</v>
      </c>
      <c r="P159" s="12">
        <v>6.1220000000002983</v>
      </c>
      <c r="Q159" s="12">
        <v>-4968.1850000000004</v>
      </c>
      <c r="R159" s="12">
        <v>2.9589999999998327</v>
      </c>
      <c r="S159" s="7">
        <v>3</v>
      </c>
      <c r="T159" s="12">
        <v>6.1220000000002983</v>
      </c>
      <c r="U159" s="12">
        <v>6.2640000000001237</v>
      </c>
      <c r="V159" s="7" t="b">
        <f>T159&lt;=Rules!$B$4</f>
        <v>0</v>
      </c>
      <c r="W159" s="7" t="e">
        <f t="shared" ca="1" si="14"/>
        <v>#NAME?</v>
      </c>
      <c r="X159" s="7">
        <v>2</v>
      </c>
      <c r="Y159" s="14" t="b">
        <v>0</v>
      </c>
      <c r="Z159" s="7" t="s">
        <v>71</v>
      </c>
      <c r="AA159" s="7" t="s">
        <v>72</v>
      </c>
    </row>
    <row r="160" spans="1:27">
      <c r="A160" s="7">
        <v>11</v>
      </c>
      <c r="B160" s="7">
        <v>132</v>
      </c>
      <c r="C160" s="7" t="s">
        <v>86</v>
      </c>
      <c r="D160" s="7" t="s">
        <v>24</v>
      </c>
      <c r="E160" s="7" t="s">
        <v>35</v>
      </c>
      <c r="F160" s="7" t="s">
        <v>69</v>
      </c>
      <c r="G160" s="16">
        <v>0.46140893530362981</v>
      </c>
      <c r="H160" s="16">
        <v>0.92281787060725962</v>
      </c>
      <c r="I160" s="16">
        <v>2</v>
      </c>
      <c r="J160" s="16" t="e">
        <f t="shared" ca="1" si="12"/>
        <v>#NAME?</v>
      </c>
      <c r="K160" s="8" t="e">
        <f t="shared" ca="1" si="13"/>
        <v>#NAME?</v>
      </c>
      <c r="L160" s="7" t="e">
        <f ca="1">K160&lt;=Rules!$B$5</f>
        <v>#NAME?</v>
      </c>
      <c r="M160" s="12"/>
      <c r="N160" s="12"/>
      <c r="O160" s="12"/>
      <c r="P160" s="12"/>
      <c r="Q160" s="12">
        <v>-4971.1440000000002</v>
      </c>
      <c r="R160" s="12">
        <v>0</v>
      </c>
      <c r="S160" s="7">
        <v>1</v>
      </c>
      <c r="T160" s="12">
        <v>0</v>
      </c>
      <c r="U160" s="12">
        <v>0</v>
      </c>
      <c r="V160" s="7" t="b">
        <f>T160&lt;=Rules!$B$4</f>
        <v>1</v>
      </c>
      <c r="W160" s="7" t="e">
        <f t="shared" ca="1" si="14"/>
        <v>#NAME?</v>
      </c>
      <c r="X160" s="7">
        <v>3</v>
      </c>
      <c r="Y160" s="14" t="b">
        <v>0</v>
      </c>
      <c r="Z160" s="7" t="s">
        <v>71</v>
      </c>
      <c r="AA160" s="7" t="s">
        <v>72</v>
      </c>
    </row>
    <row r="161" spans="1:27">
      <c r="A161" s="7">
        <v>12</v>
      </c>
      <c r="B161" s="7">
        <v>132</v>
      </c>
      <c r="C161" s="7" t="s">
        <v>50</v>
      </c>
      <c r="D161" s="7" t="s">
        <v>51</v>
      </c>
      <c r="E161" s="7" t="s">
        <v>25</v>
      </c>
      <c r="F161" s="7" t="s">
        <v>70</v>
      </c>
      <c r="G161" s="16">
        <v>1.1742887010878014</v>
      </c>
      <c r="H161" s="16">
        <v>2.3485774021756027</v>
      </c>
      <c r="I161" s="16">
        <v>2</v>
      </c>
      <c r="J161" s="16" t="e">
        <f t="shared" ca="1" si="12"/>
        <v>#NAME?</v>
      </c>
      <c r="K161" s="8" t="e">
        <f t="shared" ca="1" si="13"/>
        <v>#NAME?</v>
      </c>
      <c r="L161" s="7" t="e">
        <f ca="1">K161&lt;=Rules!$B$5</f>
        <v>#NAME?</v>
      </c>
      <c r="M161" s="12">
        <v>-7087.9930000000004</v>
      </c>
      <c r="N161" s="12">
        <v>1.2669999999998254</v>
      </c>
      <c r="O161" s="12">
        <v>-7081.2740000000003</v>
      </c>
      <c r="P161" s="12">
        <v>0.84699999999975262</v>
      </c>
      <c r="Q161" s="12"/>
      <c r="R161" s="12"/>
      <c r="S161" s="7">
        <v>2</v>
      </c>
      <c r="T161" s="12">
        <v>1.056999999999789</v>
      </c>
      <c r="U161" s="12">
        <v>1.2669999999998254</v>
      </c>
      <c r="V161" s="7" t="b">
        <f>T161&lt;=Rules!$B$4</f>
        <v>1</v>
      </c>
      <c r="W161" s="7" t="e">
        <f t="shared" ca="1" si="14"/>
        <v>#NAME?</v>
      </c>
      <c r="X161" s="7">
        <v>4</v>
      </c>
      <c r="Y161" s="14" t="b">
        <v>1</v>
      </c>
      <c r="Z161" s="7" t="s">
        <v>21</v>
      </c>
      <c r="AA161" s="7" t="s">
        <v>22</v>
      </c>
    </row>
    <row r="162" spans="1:27">
      <c r="A162" s="7">
        <v>12</v>
      </c>
      <c r="B162" s="7">
        <v>132</v>
      </c>
      <c r="C162" s="7" t="s">
        <v>36</v>
      </c>
      <c r="D162" s="7" t="s">
        <v>37</v>
      </c>
      <c r="E162" s="7" t="s">
        <v>25</v>
      </c>
      <c r="F162" s="7" t="s">
        <v>70</v>
      </c>
      <c r="G162" s="16">
        <v>1.2035499975847868</v>
      </c>
      <c r="H162" s="16">
        <v>2.4070999951695735</v>
      </c>
      <c r="I162" s="16">
        <v>2</v>
      </c>
      <c r="J162" s="16" t="e">
        <f t="shared" ca="1" si="12"/>
        <v>#NAME?</v>
      </c>
      <c r="K162" s="8" t="e">
        <f t="shared" ca="1" si="13"/>
        <v>#NAME?</v>
      </c>
      <c r="L162" s="7" t="e">
        <f ca="1">K162&lt;=Rules!$B$5</f>
        <v>#NAME?</v>
      </c>
      <c r="M162" s="12">
        <v>-7089.26</v>
      </c>
      <c r="N162" s="12">
        <v>0</v>
      </c>
      <c r="O162" s="12">
        <v>-7082.1210000000001</v>
      </c>
      <c r="P162" s="12">
        <v>0</v>
      </c>
      <c r="Q162" s="12">
        <v>-7113.1620000000003</v>
      </c>
      <c r="R162" s="12">
        <v>6.4929999999994834</v>
      </c>
      <c r="S162" s="7">
        <v>3</v>
      </c>
      <c r="T162" s="12">
        <v>0</v>
      </c>
      <c r="U162" s="12">
        <v>6.4929999999994834</v>
      </c>
      <c r="V162" s="7" t="b">
        <f>T162&lt;=Rules!$B$4</f>
        <v>1</v>
      </c>
      <c r="W162" s="7" t="e">
        <f t="shared" ca="1" si="14"/>
        <v>#NAME?</v>
      </c>
      <c r="X162" s="7">
        <v>5</v>
      </c>
      <c r="Y162" s="14" t="b">
        <v>0</v>
      </c>
      <c r="Z162" s="7" t="s">
        <v>71</v>
      </c>
      <c r="AA162" s="7" t="s">
        <v>72</v>
      </c>
    </row>
    <row r="163" spans="1:27">
      <c r="A163" s="7">
        <v>12</v>
      </c>
      <c r="B163" s="7">
        <v>132</v>
      </c>
      <c r="C163" s="7" t="s">
        <v>44</v>
      </c>
      <c r="D163" s="7" t="s">
        <v>45</v>
      </c>
      <c r="E163" s="7" t="s">
        <v>25</v>
      </c>
      <c r="F163" s="7" t="s">
        <v>70</v>
      </c>
      <c r="G163" s="16">
        <v>1.2352819477916683</v>
      </c>
      <c r="H163" s="16">
        <v>2.4705638955833367</v>
      </c>
      <c r="I163" s="16">
        <v>2</v>
      </c>
      <c r="J163" s="16" t="e">
        <f t="shared" ca="1" si="12"/>
        <v>#NAME?</v>
      </c>
      <c r="K163" s="8" t="e">
        <f t="shared" ca="1" si="13"/>
        <v>#NAME?</v>
      </c>
      <c r="L163" s="7" t="e">
        <f ca="1">K163&lt;=Rules!$B$5</f>
        <v>#NAME?</v>
      </c>
      <c r="M163" s="12"/>
      <c r="N163" s="12"/>
      <c r="O163" s="12"/>
      <c r="P163" s="12"/>
      <c r="Q163" s="12">
        <v>-7119.6549999999997</v>
      </c>
      <c r="R163" s="12">
        <v>0</v>
      </c>
      <c r="S163" s="7">
        <v>1</v>
      </c>
      <c r="T163" s="12">
        <v>0</v>
      </c>
      <c r="U163" s="12">
        <v>0</v>
      </c>
      <c r="V163" s="7" t="b">
        <f>T163&lt;=Rules!$B$4</f>
        <v>1</v>
      </c>
      <c r="W163" s="7" t="e">
        <f t="shared" ca="1" si="14"/>
        <v>#NAME?</v>
      </c>
      <c r="X163" s="7">
        <v>3</v>
      </c>
      <c r="Y163" s="14" t="b">
        <v>0</v>
      </c>
      <c r="Z163" s="7" t="s">
        <v>71</v>
      </c>
      <c r="AA163" s="7" t="s">
        <v>72</v>
      </c>
    </row>
    <row r="164" spans="1:27">
      <c r="A164" s="7">
        <v>13</v>
      </c>
      <c r="B164" s="7">
        <v>132</v>
      </c>
      <c r="C164" s="7" t="s">
        <v>47</v>
      </c>
      <c r="D164" s="7" t="s">
        <v>48</v>
      </c>
      <c r="E164" s="7" t="s">
        <v>25</v>
      </c>
      <c r="F164" s="7" t="s">
        <v>70</v>
      </c>
      <c r="G164" s="16">
        <v>1.833252582325805</v>
      </c>
      <c r="H164" s="16">
        <v>3.66650516465161</v>
      </c>
      <c r="I164" s="16">
        <v>2</v>
      </c>
      <c r="J164" s="16" t="e">
        <f t="shared" ca="1" si="12"/>
        <v>#NAME?</v>
      </c>
      <c r="K164" s="8" t="e">
        <f t="shared" ca="1" si="13"/>
        <v>#NAME?</v>
      </c>
      <c r="L164" s="7" t="e">
        <f ca="1">K164&lt;=Rules!$B$5</f>
        <v>#NAME?</v>
      </c>
      <c r="M164" s="12">
        <v>-2466.0729999999999</v>
      </c>
      <c r="N164" s="12">
        <v>11.193000000000211</v>
      </c>
      <c r="O164" s="12">
        <v>-2462.3389999999999</v>
      </c>
      <c r="P164" s="12">
        <v>5.5599999999999454</v>
      </c>
      <c r="Q164" s="12"/>
      <c r="R164" s="12"/>
      <c r="S164" s="7">
        <v>2</v>
      </c>
      <c r="T164" s="12">
        <v>8.3765000000000782</v>
      </c>
      <c r="U164" s="12">
        <v>11.193000000000211</v>
      </c>
      <c r="V164" s="7" t="b">
        <f>T164&lt;=Rules!$B$4</f>
        <v>0</v>
      </c>
      <c r="W164" s="7" t="e">
        <f t="shared" ca="1" si="14"/>
        <v>#NAME?</v>
      </c>
      <c r="X164" s="7">
        <v>3</v>
      </c>
      <c r="Y164" s="14" t="b">
        <v>0</v>
      </c>
      <c r="Z164" s="7" t="s">
        <v>71</v>
      </c>
      <c r="AA164" s="7" t="s">
        <v>72</v>
      </c>
    </row>
    <row r="165" spans="1:27">
      <c r="A165" s="7">
        <v>13</v>
      </c>
      <c r="B165" s="7">
        <v>132</v>
      </c>
      <c r="C165" s="7" t="s">
        <v>90</v>
      </c>
      <c r="D165" s="7" t="s">
        <v>91</v>
      </c>
      <c r="E165" s="7" t="s">
        <v>25</v>
      </c>
      <c r="F165" s="7" t="s">
        <v>70</v>
      </c>
      <c r="G165" s="16">
        <v>1.833658623647533</v>
      </c>
      <c r="H165" s="16">
        <v>3.6673172472950659</v>
      </c>
      <c r="I165" s="16">
        <v>2</v>
      </c>
      <c r="J165" s="16" t="e">
        <f t="shared" ca="1" si="12"/>
        <v>#NAME?</v>
      </c>
      <c r="K165" s="8" t="e">
        <f t="shared" ref="K165:K196" ca="1" si="15">IF(J165=0,0,(G165-J165)/J165)</f>
        <v>#NAME?</v>
      </c>
      <c r="L165" s="7" t="e">
        <f ca="1">K165&lt;=Rules!$B$5</f>
        <v>#NAME?</v>
      </c>
      <c r="M165" s="12"/>
      <c r="N165" s="12"/>
      <c r="O165" s="12"/>
      <c r="P165" s="12"/>
      <c r="Q165" s="12">
        <v>-2491.09</v>
      </c>
      <c r="R165" s="12">
        <v>4.3329999999996289</v>
      </c>
      <c r="S165" s="7">
        <v>1</v>
      </c>
      <c r="T165" s="12">
        <v>4.3329999999996289</v>
      </c>
      <c r="U165" s="12">
        <v>4.3329999999996289</v>
      </c>
      <c r="V165" s="7" t="b">
        <f>T165&lt;=Rules!$B$4</f>
        <v>0</v>
      </c>
      <c r="W165" s="7" t="e">
        <f t="shared" ref="W165:W196" ca="1" si="16">AND(L165,V165)</f>
        <v>#NAME?</v>
      </c>
      <c r="X165" s="7">
        <v>5</v>
      </c>
      <c r="Y165" s="14" t="b">
        <v>0</v>
      </c>
      <c r="Z165" s="7" t="s">
        <v>71</v>
      </c>
      <c r="AA165" s="7" t="s">
        <v>72</v>
      </c>
    </row>
    <row r="166" spans="1:27">
      <c r="A166" s="7">
        <v>13</v>
      </c>
      <c r="B166" s="7">
        <v>132</v>
      </c>
      <c r="C166" s="7" t="s">
        <v>92</v>
      </c>
      <c r="D166" s="7" t="s">
        <v>93</v>
      </c>
      <c r="E166" s="7" t="s">
        <v>89</v>
      </c>
      <c r="F166" s="7" t="s">
        <v>69</v>
      </c>
      <c r="G166" s="16">
        <v>1.8336987877971751</v>
      </c>
      <c r="H166" s="16">
        <v>3.6673975755943502</v>
      </c>
      <c r="I166" s="16">
        <v>2</v>
      </c>
      <c r="J166" s="16" t="e">
        <f t="shared" ca="1" si="12"/>
        <v>#NAME?</v>
      </c>
      <c r="K166" s="8" t="e">
        <f t="shared" ca="1" si="15"/>
        <v>#NAME?</v>
      </c>
      <c r="L166" s="7" t="e">
        <f ca="1">K166&lt;=Rules!$B$5</f>
        <v>#NAME?</v>
      </c>
      <c r="M166" s="12"/>
      <c r="N166" s="12"/>
      <c r="O166" s="12"/>
      <c r="P166" s="12"/>
      <c r="Q166" s="12">
        <v>-2495.4229999999998</v>
      </c>
      <c r="R166" s="12">
        <v>0</v>
      </c>
      <c r="S166" s="7">
        <v>1</v>
      </c>
      <c r="T166" s="12">
        <v>0</v>
      </c>
      <c r="U166" s="12">
        <v>0</v>
      </c>
      <c r="V166" s="7" t="b">
        <f>T166&lt;=Rules!$B$4</f>
        <v>1</v>
      </c>
      <c r="W166" s="7" t="e">
        <f t="shared" ca="1" si="16"/>
        <v>#NAME?</v>
      </c>
      <c r="X166" s="7">
        <v>7</v>
      </c>
      <c r="Y166" s="14" t="b">
        <v>0</v>
      </c>
      <c r="Z166" s="7" t="s">
        <v>71</v>
      </c>
      <c r="AA166" s="7" t="s">
        <v>72</v>
      </c>
    </row>
    <row r="167" spans="1:27">
      <c r="A167" s="7">
        <v>13</v>
      </c>
      <c r="B167" s="7">
        <v>132</v>
      </c>
      <c r="C167" s="7" t="s">
        <v>87</v>
      </c>
      <c r="D167" s="7" t="s">
        <v>88</v>
      </c>
      <c r="E167" s="7" t="s">
        <v>89</v>
      </c>
      <c r="F167" s="7" t="s">
        <v>69</v>
      </c>
      <c r="G167" s="16">
        <v>1.8343045514549301</v>
      </c>
      <c r="H167" s="16">
        <v>3.6686091029098602</v>
      </c>
      <c r="I167" s="16">
        <v>2</v>
      </c>
      <c r="J167" s="16" t="e">
        <f t="shared" ca="1" si="12"/>
        <v>#NAME?</v>
      </c>
      <c r="K167" s="8" t="e">
        <f t="shared" ca="1" si="15"/>
        <v>#NAME?</v>
      </c>
      <c r="L167" s="7" t="e">
        <f ca="1">K167&lt;=Rules!$B$5</f>
        <v>#NAME?</v>
      </c>
      <c r="M167" s="12">
        <v>-2477.2660000000001</v>
      </c>
      <c r="N167" s="12">
        <v>0</v>
      </c>
      <c r="O167" s="12"/>
      <c r="P167" s="12"/>
      <c r="Q167" s="12"/>
      <c r="R167" s="12"/>
      <c r="S167" s="7">
        <v>1</v>
      </c>
      <c r="T167" s="12">
        <v>0</v>
      </c>
      <c r="U167" s="12">
        <v>0</v>
      </c>
      <c r="V167" s="7" t="b">
        <f>T167&lt;=Rules!$B$4</f>
        <v>1</v>
      </c>
      <c r="W167" s="7" t="e">
        <f t="shared" ca="1" si="16"/>
        <v>#NAME?</v>
      </c>
      <c r="X167" s="7">
        <v>8</v>
      </c>
      <c r="Y167" s="14" t="b">
        <v>0</v>
      </c>
      <c r="Z167" s="7" t="s">
        <v>71</v>
      </c>
      <c r="AA167" s="7" t="s">
        <v>72</v>
      </c>
    </row>
    <row r="168" spans="1:27">
      <c r="A168" s="7">
        <v>13</v>
      </c>
      <c r="B168" s="7">
        <v>132</v>
      </c>
      <c r="C168" s="7" t="s">
        <v>38</v>
      </c>
      <c r="D168" s="7" t="s">
        <v>39</v>
      </c>
      <c r="E168" s="7" t="s">
        <v>40</v>
      </c>
      <c r="F168" s="7" t="s">
        <v>69</v>
      </c>
      <c r="G168" s="16">
        <v>1.8343843240244135</v>
      </c>
      <c r="H168" s="16">
        <v>3.6687686480488271</v>
      </c>
      <c r="I168" s="16">
        <v>2</v>
      </c>
      <c r="J168" s="16" t="e">
        <f t="shared" ca="1" si="12"/>
        <v>#NAME?</v>
      </c>
      <c r="K168" s="8" t="e">
        <f t="shared" ca="1" si="15"/>
        <v>#NAME?</v>
      </c>
      <c r="L168" s="7" t="e">
        <f ca="1">K168&lt;=Rules!$B$5</f>
        <v>#NAME?</v>
      </c>
      <c r="M168" s="12"/>
      <c r="N168" s="12"/>
      <c r="O168" s="12">
        <v>-2467.8989999999999</v>
      </c>
      <c r="P168" s="12">
        <v>0</v>
      </c>
      <c r="Q168" s="12"/>
      <c r="R168" s="12"/>
      <c r="S168" s="7">
        <v>1</v>
      </c>
      <c r="T168" s="12">
        <v>0</v>
      </c>
      <c r="U168" s="12">
        <v>0</v>
      </c>
      <c r="V168" s="7" t="b">
        <f>T168&lt;=Rules!$B$4</f>
        <v>1</v>
      </c>
      <c r="W168" s="7" t="e">
        <f t="shared" ca="1" si="16"/>
        <v>#NAME?</v>
      </c>
      <c r="X168" s="7">
        <v>6</v>
      </c>
      <c r="Y168" s="14" t="b">
        <v>1</v>
      </c>
      <c r="Z168" s="7" t="s">
        <v>21</v>
      </c>
      <c r="AA168" s="7" t="s">
        <v>22</v>
      </c>
    </row>
  </sheetData>
  <mergeCells count="2">
    <mergeCell ref="A1:AA1"/>
    <mergeCell ref="A2:AA2"/>
  </mergeCells>
  <conditionalFormatting sqref="Y5:Y168">
    <cfRule type="cellIs" dxfId="3" priority="1" operator="equal">
      <formula>TRUE</formula>
    </cfRule>
  </conditionalFormatting>
  <conditionalFormatting sqref="Z5:Z168">
    <cfRule type="containsText" dxfId="2" priority="2" operator="containsText" text="fallback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/>
  </sheetViews>
  <sheetFormatPr defaultRowHeight="13.8"/>
  <cols>
    <col min="1" max="2" width="24" customWidth="1"/>
    <col min="3" max="4" width="42" customWidth="1"/>
  </cols>
  <sheetData>
    <row r="1" spans="1:4" ht="30" customHeight="1">
      <c r="A1" s="22" t="s">
        <v>94</v>
      </c>
      <c r="B1" s="22" t="s">
        <v>94</v>
      </c>
      <c r="C1" s="22" t="s">
        <v>94</v>
      </c>
      <c r="D1" s="22" t="s">
        <v>94</v>
      </c>
    </row>
    <row r="3" spans="1:4" ht="30" customHeight="1">
      <c r="A3" s="1" t="s">
        <v>95</v>
      </c>
      <c r="B3" s="2" t="s">
        <v>96</v>
      </c>
      <c r="C3" s="2" t="s">
        <v>97</v>
      </c>
      <c r="D3" s="3" t="s">
        <v>98</v>
      </c>
    </row>
    <row r="4" spans="1:4">
      <c r="A4" s="5" t="s">
        <v>99</v>
      </c>
      <c r="B4" s="6">
        <v>2</v>
      </c>
      <c r="C4" s="5" t="s">
        <v>100</v>
      </c>
      <c r="D4" s="5" t="s">
        <v>101</v>
      </c>
    </row>
    <row r="5" spans="1:4">
      <c r="A5" s="7" t="s">
        <v>102</v>
      </c>
      <c r="B5" s="8">
        <v>0.01</v>
      </c>
      <c r="C5" s="7" t="s">
        <v>103</v>
      </c>
      <c r="D5" s="7" t="s">
        <v>104</v>
      </c>
    </row>
    <row r="6" spans="1:4">
      <c r="A6" s="7"/>
      <c r="B6" s="7"/>
      <c r="C6" s="7"/>
      <c r="D6" s="7"/>
    </row>
    <row r="7" spans="1:4" ht="30" customHeight="1">
      <c r="A7" s="4" t="s">
        <v>105</v>
      </c>
      <c r="B7" s="4" t="s">
        <v>106</v>
      </c>
      <c r="C7" s="4" t="s">
        <v>107</v>
      </c>
      <c r="D7" s="4" t="s">
        <v>108</v>
      </c>
    </row>
    <row r="8" spans="1:4">
      <c r="A8" s="7">
        <v>1</v>
      </c>
      <c r="B8" s="7" t="s">
        <v>109</v>
      </c>
      <c r="C8" s="7" t="s">
        <v>110</v>
      </c>
      <c r="D8" s="7" t="s">
        <v>111</v>
      </c>
    </row>
    <row r="9" spans="1:4">
      <c r="A9" s="7">
        <v>2</v>
      </c>
      <c r="B9" s="7" t="s">
        <v>112</v>
      </c>
      <c r="C9" s="7" t="s">
        <v>113</v>
      </c>
      <c r="D9" s="7" t="s">
        <v>114</v>
      </c>
    </row>
    <row r="10" spans="1:4">
      <c r="A10" s="7">
        <v>3</v>
      </c>
      <c r="B10" s="7" t="s">
        <v>115</v>
      </c>
      <c r="C10" s="7" t="s">
        <v>116</v>
      </c>
      <c r="D10" s="7" t="s">
        <v>117</v>
      </c>
    </row>
    <row r="11" spans="1:4">
      <c r="A11" s="7">
        <v>4</v>
      </c>
      <c r="B11" s="7" t="s">
        <v>118</v>
      </c>
      <c r="C11" s="7" t="s">
        <v>119</v>
      </c>
      <c r="D11" s="7" t="s">
        <v>120</v>
      </c>
    </row>
    <row r="12" spans="1:4">
      <c r="A12" s="7">
        <v>5</v>
      </c>
      <c r="B12" s="7" t="s">
        <v>121</v>
      </c>
      <c r="C12" s="7" t="s">
        <v>122</v>
      </c>
      <c r="D12" s="7" t="s">
        <v>123</v>
      </c>
    </row>
    <row r="14" spans="1:4">
      <c r="A14" s="25" t="s">
        <v>124</v>
      </c>
      <c r="B14" s="24"/>
      <c r="C14" s="24"/>
      <c r="D14" s="24"/>
    </row>
    <row r="15" spans="1:4" ht="34.049999999999997" customHeight="1">
      <c r="A15" s="27" t="s">
        <v>125</v>
      </c>
      <c r="B15" s="27"/>
      <c r="C15" s="27"/>
      <c r="D15" s="27"/>
    </row>
    <row r="16" spans="1:4" ht="34.049999999999997" customHeight="1">
      <c r="A16" s="27" t="s">
        <v>126</v>
      </c>
      <c r="B16" s="27"/>
      <c r="C16" s="27"/>
      <c r="D16" s="27"/>
    </row>
  </sheetData>
  <mergeCells count="4">
    <mergeCell ref="A1:D1"/>
    <mergeCell ref="A14:D14"/>
    <mergeCell ref="A15:D15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showGridLines="0" workbookViewId="0"/>
  </sheetViews>
  <sheetFormatPr defaultRowHeight="13.8"/>
  <cols>
    <col min="1" max="2" width="18" customWidth="1"/>
    <col min="3" max="3" width="22" customWidth="1"/>
    <col min="4" max="10" width="18" customWidth="1"/>
  </cols>
  <sheetData>
    <row r="1" spans="1:10" ht="30" customHeight="1">
      <c r="A1" s="22" t="s">
        <v>127</v>
      </c>
      <c r="B1" s="22" t="s">
        <v>127</v>
      </c>
      <c r="C1" s="22" t="s">
        <v>127</v>
      </c>
      <c r="D1" s="22" t="s">
        <v>127</v>
      </c>
      <c r="E1" s="22" t="s">
        <v>127</v>
      </c>
      <c r="F1" s="22" t="s">
        <v>127</v>
      </c>
      <c r="G1" s="22" t="s">
        <v>127</v>
      </c>
      <c r="H1" s="22" t="s">
        <v>127</v>
      </c>
      <c r="I1" s="22" t="s">
        <v>127</v>
      </c>
      <c r="J1" s="22" t="s">
        <v>127</v>
      </c>
    </row>
    <row r="2" spans="1:10" ht="14.4">
      <c r="A2" s="26" t="s">
        <v>128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ht="30" customHeight="1">
      <c r="A4" s="1" t="s">
        <v>3</v>
      </c>
      <c r="B4" s="2" t="s">
        <v>129</v>
      </c>
      <c r="C4" s="2" t="s">
        <v>130</v>
      </c>
      <c r="D4" s="2" t="s">
        <v>8</v>
      </c>
      <c r="E4" s="2" t="s">
        <v>9</v>
      </c>
      <c r="F4" s="2" t="s">
        <v>54</v>
      </c>
      <c r="G4" s="2" t="s">
        <v>131</v>
      </c>
      <c r="H4" s="2" t="s">
        <v>132</v>
      </c>
      <c r="I4" s="2" t="s">
        <v>133</v>
      </c>
      <c r="J4" s="3" t="s">
        <v>134</v>
      </c>
    </row>
    <row r="5" spans="1:10">
      <c r="A5" s="5">
        <v>1</v>
      </c>
      <c r="B5" s="5" t="s">
        <v>135</v>
      </c>
      <c r="C5" s="5" t="s">
        <v>136</v>
      </c>
      <c r="D5" s="5" t="s">
        <v>19</v>
      </c>
      <c r="E5" s="5" t="s">
        <v>20</v>
      </c>
      <c r="F5" s="5" t="s">
        <v>69</v>
      </c>
      <c r="G5" s="11">
        <v>-3844.78</v>
      </c>
      <c r="H5" s="11" t="e">
        <f t="shared" ref="H5:H36" ca="1" si="0">_xludf.MINIFS($G$5:$G$68,$A$5:$A$68,A5,$B$5:$B$68,B5)</f>
        <v>#NAME?</v>
      </c>
      <c r="I5" s="11" t="e">
        <f t="shared" ref="I5:I36" ca="1" si="1">G5-H5</f>
        <v>#NAME?</v>
      </c>
      <c r="J5" s="5" t="e">
        <f ca="1">IF(I5&lt;=Rules!$B$4,"supported","weaker")</f>
        <v>#NAME?</v>
      </c>
    </row>
    <row r="6" spans="1:10">
      <c r="A6" s="7">
        <v>1</v>
      </c>
      <c r="B6" s="7" t="s">
        <v>135</v>
      </c>
      <c r="C6" s="7" t="s">
        <v>137</v>
      </c>
      <c r="D6" s="7" t="s">
        <v>19</v>
      </c>
      <c r="E6" s="7" t="s">
        <v>25</v>
      </c>
      <c r="F6" s="7" t="s">
        <v>70</v>
      </c>
      <c r="G6" s="12">
        <v>-3842.27</v>
      </c>
      <c r="H6" s="12" t="e">
        <f t="shared" ca="1" si="0"/>
        <v>#NAME?</v>
      </c>
      <c r="I6" s="12" t="e">
        <f t="shared" ca="1" si="1"/>
        <v>#NAME?</v>
      </c>
      <c r="J6" s="7" t="e">
        <f ca="1">IF(I6&lt;=Rules!$B$4,"supported","weaker")</f>
        <v>#NAME?</v>
      </c>
    </row>
    <row r="7" spans="1:10">
      <c r="A7" s="7">
        <v>1</v>
      </c>
      <c r="B7" s="7" t="s">
        <v>138</v>
      </c>
      <c r="C7" s="7" t="s">
        <v>136</v>
      </c>
      <c r="D7" s="7" t="s">
        <v>19</v>
      </c>
      <c r="E7" s="7" t="s">
        <v>20</v>
      </c>
      <c r="F7" s="7" t="s">
        <v>69</v>
      </c>
      <c r="G7" s="12">
        <v>-3836.9679999999998</v>
      </c>
      <c r="H7" s="12" t="e">
        <f t="shared" ca="1" si="0"/>
        <v>#NAME?</v>
      </c>
      <c r="I7" s="12" t="e">
        <f t="shared" ca="1" si="1"/>
        <v>#NAME?</v>
      </c>
      <c r="J7" s="7" t="e">
        <f ca="1">IF(I7&lt;=Rules!$B$4,"supported","weaker")</f>
        <v>#NAME?</v>
      </c>
    </row>
    <row r="8" spans="1:10">
      <c r="A8" s="7">
        <v>1</v>
      </c>
      <c r="B8" s="7" t="s">
        <v>138</v>
      </c>
      <c r="C8" s="7" t="s">
        <v>137</v>
      </c>
      <c r="D8" s="7" t="s">
        <v>19</v>
      </c>
      <c r="E8" s="7" t="s">
        <v>25</v>
      </c>
      <c r="F8" s="7" t="s">
        <v>70</v>
      </c>
      <c r="G8" s="12">
        <v>-3836.0250000000001</v>
      </c>
      <c r="H8" s="12" t="e">
        <f t="shared" ca="1" si="0"/>
        <v>#NAME?</v>
      </c>
      <c r="I8" s="12" t="e">
        <f t="shared" ca="1" si="1"/>
        <v>#NAME?</v>
      </c>
      <c r="J8" s="7" t="e">
        <f ca="1">IF(I8&lt;=Rules!$B$4,"supported","weaker")</f>
        <v>#NAME?</v>
      </c>
    </row>
    <row r="9" spans="1:10">
      <c r="A9" s="7">
        <v>1</v>
      </c>
      <c r="B9" s="7" t="s">
        <v>139</v>
      </c>
      <c r="C9" s="7" t="s">
        <v>136</v>
      </c>
      <c r="D9" s="7" t="s">
        <v>19</v>
      </c>
      <c r="E9" s="7" t="s">
        <v>20</v>
      </c>
      <c r="F9" s="7" t="s">
        <v>69</v>
      </c>
      <c r="G9" s="12">
        <v>-3858.8510000000001</v>
      </c>
      <c r="H9" s="12" t="e">
        <f t="shared" ca="1" si="0"/>
        <v>#NAME?</v>
      </c>
      <c r="I9" s="12" t="e">
        <f t="shared" ca="1" si="1"/>
        <v>#NAME?</v>
      </c>
      <c r="J9" s="7" t="e">
        <f ca="1">IF(I9&lt;=Rules!$B$4,"supported","weaker")</f>
        <v>#NAME?</v>
      </c>
    </row>
    <row r="10" spans="1:10">
      <c r="A10" s="7">
        <v>1</v>
      </c>
      <c r="B10" s="7" t="s">
        <v>139</v>
      </c>
      <c r="C10" s="7" t="s">
        <v>137</v>
      </c>
      <c r="D10" s="7" t="s">
        <v>19</v>
      </c>
      <c r="E10" s="7" t="s">
        <v>25</v>
      </c>
      <c r="F10" s="7" t="s">
        <v>70</v>
      </c>
      <c r="G10" s="12">
        <v>-3857.1959999999999</v>
      </c>
      <c r="H10" s="12" t="e">
        <f t="shared" ca="1" si="0"/>
        <v>#NAME?</v>
      </c>
      <c r="I10" s="12" t="e">
        <f t="shared" ca="1" si="1"/>
        <v>#NAME?</v>
      </c>
      <c r="J10" s="7" t="e">
        <f ca="1">IF(I10&lt;=Rules!$B$4,"supported","weaker")</f>
        <v>#NAME?</v>
      </c>
    </row>
    <row r="11" spans="1:10">
      <c r="A11" s="7">
        <v>2</v>
      </c>
      <c r="B11" s="7" t="s">
        <v>135</v>
      </c>
      <c r="C11" s="7" t="s">
        <v>137</v>
      </c>
      <c r="D11" s="7" t="s">
        <v>24</v>
      </c>
      <c r="E11" s="7" t="s">
        <v>25</v>
      </c>
      <c r="F11" s="7" t="s">
        <v>70</v>
      </c>
      <c r="G11" s="12">
        <v>-4426.0010000000002</v>
      </c>
      <c r="H11" s="12" t="e">
        <f t="shared" ca="1" si="0"/>
        <v>#NAME?</v>
      </c>
      <c r="I11" s="12" t="e">
        <f t="shared" ca="1" si="1"/>
        <v>#NAME?</v>
      </c>
      <c r="J11" s="7" t="e">
        <f ca="1">IF(I11&lt;=Rules!$B$4,"supported","weaker")</f>
        <v>#NAME?</v>
      </c>
    </row>
    <row r="12" spans="1:10">
      <c r="A12" s="7">
        <v>2</v>
      </c>
      <c r="B12" s="7" t="s">
        <v>138</v>
      </c>
      <c r="C12" s="7" t="s">
        <v>137</v>
      </c>
      <c r="D12" s="7" t="s">
        <v>24</v>
      </c>
      <c r="E12" s="7" t="s">
        <v>25</v>
      </c>
      <c r="F12" s="7" t="s">
        <v>70</v>
      </c>
      <c r="G12" s="12">
        <v>-4425.0050000000001</v>
      </c>
      <c r="H12" s="12" t="e">
        <f t="shared" ca="1" si="0"/>
        <v>#NAME?</v>
      </c>
      <c r="I12" s="12" t="e">
        <f t="shared" ca="1" si="1"/>
        <v>#NAME?</v>
      </c>
      <c r="J12" s="7" t="e">
        <f ca="1">IF(I12&lt;=Rules!$B$4,"supported","weaker")</f>
        <v>#NAME?</v>
      </c>
    </row>
    <row r="13" spans="1:10">
      <c r="A13" s="7">
        <v>2</v>
      </c>
      <c r="B13" s="7" t="s">
        <v>139</v>
      </c>
      <c r="C13" s="7" t="s">
        <v>137</v>
      </c>
      <c r="D13" s="7" t="s">
        <v>24</v>
      </c>
      <c r="E13" s="7" t="s">
        <v>25</v>
      </c>
      <c r="F13" s="7" t="s">
        <v>70</v>
      </c>
      <c r="G13" s="12">
        <v>-4432.2709999999997</v>
      </c>
      <c r="H13" s="12" t="e">
        <f t="shared" ca="1" si="0"/>
        <v>#NAME?</v>
      </c>
      <c r="I13" s="12" t="e">
        <f t="shared" ca="1" si="1"/>
        <v>#NAME?</v>
      </c>
      <c r="J13" s="7" t="e">
        <f ca="1">IF(I13&lt;=Rules!$B$4,"supported","weaker")</f>
        <v>#NAME?</v>
      </c>
    </row>
    <row r="14" spans="1:10">
      <c r="A14" s="7">
        <v>3</v>
      </c>
      <c r="B14" s="7" t="s">
        <v>135</v>
      </c>
      <c r="C14" s="7" t="s">
        <v>136</v>
      </c>
      <c r="D14" s="7" t="s">
        <v>24</v>
      </c>
      <c r="E14" s="7" t="s">
        <v>40</v>
      </c>
      <c r="F14" s="7" t="s">
        <v>69</v>
      </c>
      <c r="G14" s="12">
        <v>-4495.9780000000001</v>
      </c>
      <c r="H14" s="12" t="e">
        <f t="shared" ca="1" si="0"/>
        <v>#NAME?</v>
      </c>
      <c r="I14" s="12" t="e">
        <f t="shared" ca="1" si="1"/>
        <v>#NAME?</v>
      </c>
      <c r="J14" s="7" t="e">
        <f ca="1">IF(I14&lt;=Rules!$B$4,"supported","weaker")</f>
        <v>#NAME?</v>
      </c>
    </row>
    <row r="15" spans="1:10">
      <c r="A15" s="7">
        <v>3</v>
      </c>
      <c r="B15" s="7" t="s">
        <v>135</v>
      </c>
      <c r="C15" s="7" t="s">
        <v>137</v>
      </c>
      <c r="D15" s="7" t="s">
        <v>24</v>
      </c>
      <c r="E15" s="7" t="s">
        <v>25</v>
      </c>
      <c r="F15" s="7" t="s">
        <v>70</v>
      </c>
      <c r="G15" s="12">
        <v>-4494.5609999999997</v>
      </c>
      <c r="H15" s="12" t="e">
        <f t="shared" ca="1" si="0"/>
        <v>#NAME?</v>
      </c>
      <c r="I15" s="12" t="e">
        <f t="shared" ca="1" si="1"/>
        <v>#NAME?</v>
      </c>
      <c r="J15" s="7" t="e">
        <f ca="1">IF(I15&lt;=Rules!$B$4,"supported","weaker")</f>
        <v>#NAME?</v>
      </c>
    </row>
    <row r="16" spans="1:10">
      <c r="A16" s="7">
        <v>3</v>
      </c>
      <c r="B16" s="7" t="s">
        <v>138</v>
      </c>
      <c r="C16" s="7" t="s">
        <v>136</v>
      </c>
      <c r="D16" s="7" t="s">
        <v>24</v>
      </c>
      <c r="E16" s="7" t="s">
        <v>40</v>
      </c>
      <c r="F16" s="7" t="s">
        <v>69</v>
      </c>
      <c r="G16" s="12">
        <v>-4480.8620000000001</v>
      </c>
      <c r="H16" s="12" t="e">
        <f t="shared" ca="1" si="0"/>
        <v>#NAME?</v>
      </c>
      <c r="I16" s="12" t="e">
        <f t="shared" ca="1" si="1"/>
        <v>#NAME?</v>
      </c>
      <c r="J16" s="7" t="e">
        <f ca="1">IF(I16&lt;=Rules!$B$4,"supported","weaker")</f>
        <v>#NAME?</v>
      </c>
    </row>
    <row r="17" spans="1:10">
      <c r="A17" s="7">
        <v>3</v>
      </c>
      <c r="B17" s="7" t="s">
        <v>138</v>
      </c>
      <c r="C17" s="7" t="s">
        <v>137</v>
      </c>
      <c r="D17" s="7" t="s">
        <v>24</v>
      </c>
      <c r="E17" s="7" t="s">
        <v>25</v>
      </c>
      <c r="F17" s="7" t="s">
        <v>70</v>
      </c>
      <c r="G17" s="12">
        <v>-4479.2820000000002</v>
      </c>
      <c r="H17" s="12" t="e">
        <f t="shared" ca="1" si="0"/>
        <v>#NAME?</v>
      </c>
      <c r="I17" s="12" t="e">
        <f t="shared" ca="1" si="1"/>
        <v>#NAME?</v>
      </c>
      <c r="J17" s="7" t="e">
        <f ca="1">IF(I17&lt;=Rules!$B$4,"supported","weaker")</f>
        <v>#NAME?</v>
      </c>
    </row>
    <row r="18" spans="1:10">
      <c r="A18" s="7">
        <v>3</v>
      </c>
      <c r="B18" s="7" t="s">
        <v>139</v>
      </c>
      <c r="C18" s="7" t="s">
        <v>136</v>
      </c>
      <c r="D18" s="7" t="s">
        <v>24</v>
      </c>
      <c r="E18" s="7" t="s">
        <v>40</v>
      </c>
      <c r="F18" s="7" t="s">
        <v>69</v>
      </c>
      <c r="G18" s="12">
        <v>-4530.5169999999998</v>
      </c>
      <c r="H18" s="12" t="e">
        <f t="shared" ca="1" si="0"/>
        <v>#NAME?</v>
      </c>
      <c r="I18" s="12" t="e">
        <f t="shared" ca="1" si="1"/>
        <v>#NAME?</v>
      </c>
      <c r="J18" s="7" t="e">
        <f ca="1">IF(I18&lt;=Rules!$B$4,"supported","weaker")</f>
        <v>#NAME?</v>
      </c>
    </row>
    <row r="19" spans="1:10">
      <c r="A19" s="7">
        <v>3</v>
      </c>
      <c r="B19" s="7" t="s">
        <v>139</v>
      </c>
      <c r="C19" s="7" t="s">
        <v>137</v>
      </c>
      <c r="D19" s="7" t="s">
        <v>24</v>
      </c>
      <c r="E19" s="7" t="s">
        <v>25</v>
      </c>
      <c r="F19" s="7" t="s">
        <v>70</v>
      </c>
      <c r="G19" s="12">
        <v>-4529.1369999999997</v>
      </c>
      <c r="H19" s="12" t="e">
        <f t="shared" ca="1" si="0"/>
        <v>#NAME?</v>
      </c>
      <c r="I19" s="12" t="e">
        <f t="shared" ca="1" si="1"/>
        <v>#NAME?</v>
      </c>
      <c r="J19" s="7" t="e">
        <f ca="1">IF(I19&lt;=Rules!$B$4,"supported","weaker")</f>
        <v>#NAME?</v>
      </c>
    </row>
    <row r="20" spans="1:10">
      <c r="A20" s="7">
        <v>4</v>
      </c>
      <c r="B20" s="7" t="s">
        <v>135</v>
      </c>
      <c r="C20" s="7" t="s">
        <v>137</v>
      </c>
      <c r="D20" s="7" t="s">
        <v>33</v>
      </c>
      <c r="E20" s="7" t="s">
        <v>25</v>
      </c>
      <c r="F20" s="7" t="s">
        <v>70</v>
      </c>
      <c r="G20" s="12">
        <v>-3772.0070000000001</v>
      </c>
      <c r="H20" s="12" t="e">
        <f t="shared" ca="1" si="0"/>
        <v>#NAME?</v>
      </c>
      <c r="I20" s="12" t="e">
        <f t="shared" ca="1" si="1"/>
        <v>#NAME?</v>
      </c>
      <c r="J20" s="7" t="e">
        <f ca="1">IF(I20&lt;=Rules!$B$4,"supported","weaker")</f>
        <v>#NAME?</v>
      </c>
    </row>
    <row r="21" spans="1:10">
      <c r="A21" s="7">
        <v>4</v>
      </c>
      <c r="B21" s="7" t="s">
        <v>138</v>
      </c>
      <c r="C21" s="7" t="s">
        <v>137</v>
      </c>
      <c r="D21" s="7" t="s">
        <v>33</v>
      </c>
      <c r="E21" s="7" t="s">
        <v>25</v>
      </c>
      <c r="F21" s="7" t="s">
        <v>70</v>
      </c>
      <c r="G21" s="12">
        <v>-3771.1190000000001</v>
      </c>
      <c r="H21" s="12" t="e">
        <f t="shared" ca="1" si="0"/>
        <v>#NAME?</v>
      </c>
      <c r="I21" s="12" t="e">
        <f t="shared" ca="1" si="1"/>
        <v>#NAME?</v>
      </c>
      <c r="J21" s="7" t="e">
        <f ca="1">IF(I21&lt;=Rules!$B$4,"supported","weaker")</f>
        <v>#NAME?</v>
      </c>
    </row>
    <row r="22" spans="1:10">
      <c r="A22" s="7">
        <v>4</v>
      </c>
      <c r="B22" s="7" t="s">
        <v>139</v>
      </c>
      <c r="C22" s="7" t="s">
        <v>137</v>
      </c>
      <c r="D22" s="7" t="s">
        <v>27</v>
      </c>
      <c r="E22" s="7" t="s">
        <v>25</v>
      </c>
      <c r="F22" s="7" t="s">
        <v>70</v>
      </c>
      <c r="G22" s="12">
        <v>-3808.904</v>
      </c>
      <c r="H22" s="12" t="e">
        <f t="shared" ca="1" si="0"/>
        <v>#NAME?</v>
      </c>
      <c r="I22" s="12" t="e">
        <f t="shared" ca="1" si="1"/>
        <v>#NAME?</v>
      </c>
      <c r="J22" s="7" t="e">
        <f ca="1">IF(I22&lt;=Rules!$B$4,"supported","weaker")</f>
        <v>#NAME?</v>
      </c>
    </row>
    <row r="23" spans="1:10">
      <c r="A23" s="7">
        <v>5</v>
      </c>
      <c r="B23" s="7" t="s">
        <v>135</v>
      </c>
      <c r="C23" s="7" t="s">
        <v>137</v>
      </c>
      <c r="D23" s="7" t="s">
        <v>29</v>
      </c>
      <c r="E23" s="7" t="s">
        <v>25</v>
      </c>
      <c r="F23" s="7" t="s">
        <v>70</v>
      </c>
      <c r="G23" s="12">
        <v>-4942.74</v>
      </c>
      <c r="H23" s="12" t="e">
        <f t="shared" ca="1" si="0"/>
        <v>#NAME?</v>
      </c>
      <c r="I23" s="12" t="e">
        <f t="shared" ca="1" si="1"/>
        <v>#NAME?</v>
      </c>
      <c r="J23" s="7" t="e">
        <f ca="1">IF(I23&lt;=Rules!$B$4,"supported","weaker")</f>
        <v>#NAME?</v>
      </c>
    </row>
    <row r="24" spans="1:10">
      <c r="A24" s="7">
        <v>5</v>
      </c>
      <c r="B24" s="7" t="s">
        <v>135</v>
      </c>
      <c r="C24" s="7" t="s">
        <v>136</v>
      </c>
      <c r="D24" s="7" t="s">
        <v>51</v>
      </c>
      <c r="E24" s="7" t="s">
        <v>25</v>
      </c>
      <c r="F24" s="7" t="s">
        <v>70</v>
      </c>
      <c r="G24" s="12">
        <v>-4907.3909999999996</v>
      </c>
      <c r="H24" s="12" t="e">
        <f t="shared" ca="1" si="0"/>
        <v>#NAME?</v>
      </c>
      <c r="I24" s="12" t="e">
        <f t="shared" ca="1" si="1"/>
        <v>#NAME?</v>
      </c>
      <c r="J24" s="7" t="e">
        <f ca="1">IF(I24&lt;=Rules!$B$4,"supported","weaker")</f>
        <v>#NAME?</v>
      </c>
    </row>
    <row r="25" spans="1:10">
      <c r="A25" s="7">
        <v>5</v>
      </c>
      <c r="B25" s="7" t="s">
        <v>138</v>
      </c>
      <c r="C25" s="7" t="s">
        <v>137</v>
      </c>
      <c r="D25" s="7" t="s">
        <v>29</v>
      </c>
      <c r="E25" s="7" t="s">
        <v>25</v>
      </c>
      <c r="F25" s="7" t="s">
        <v>70</v>
      </c>
      <c r="G25" s="12">
        <v>-4940.97</v>
      </c>
      <c r="H25" s="12" t="e">
        <f t="shared" ca="1" si="0"/>
        <v>#NAME?</v>
      </c>
      <c r="I25" s="12" t="e">
        <f t="shared" ca="1" si="1"/>
        <v>#NAME?</v>
      </c>
      <c r="J25" s="7" t="e">
        <f ca="1">IF(I25&lt;=Rules!$B$4,"supported","weaker")</f>
        <v>#NAME?</v>
      </c>
    </row>
    <row r="26" spans="1:10">
      <c r="A26" s="7">
        <v>5</v>
      </c>
      <c r="B26" s="7" t="s">
        <v>138</v>
      </c>
      <c r="C26" s="7" t="s">
        <v>136</v>
      </c>
      <c r="D26" s="7" t="s">
        <v>77</v>
      </c>
      <c r="E26" s="7" t="s">
        <v>20</v>
      </c>
      <c r="F26" s="7" t="s">
        <v>69</v>
      </c>
      <c r="G26" s="12">
        <v>-4836.3519999999999</v>
      </c>
      <c r="H26" s="12" t="e">
        <f t="shared" ca="1" si="0"/>
        <v>#NAME?</v>
      </c>
      <c r="I26" s="12" t="e">
        <f t="shared" ca="1" si="1"/>
        <v>#NAME?</v>
      </c>
      <c r="J26" s="7" t="e">
        <f ca="1">IF(I26&lt;=Rules!$B$4,"supported","weaker")</f>
        <v>#NAME?</v>
      </c>
    </row>
    <row r="27" spans="1:10">
      <c r="A27" s="7">
        <v>5</v>
      </c>
      <c r="B27" s="7" t="s">
        <v>139</v>
      </c>
      <c r="C27" s="7" t="s">
        <v>137</v>
      </c>
      <c r="D27" s="7" t="s">
        <v>75</v>
      </c>
      <c r="E27" s="7" t="s">
        <v>25</v>
      </c>
      <c r="F27" s="7" t="s">
        <v>70</v>
      </c>
      <c r="G27" s="12">
        <v>-4948.9049999999997</v>
      </c>
      <c r="H27" s="12" t="e">
        <f t="shared" ca="1" si="0"/>
        <v>#NAME?</v>
      </c>
      <c r="I27" s="12" t="e">
        <f t="shared" ca="1" si="1"/>
        <v>#NAME?</v>
      </c>
      <c r="J27" s="7" t="e">
        <f ca="1">IF(I27&lt;=Rules!$B$4,"supported","weaker")</f>
        <v>#NAME?</v>
      </c>
    </row>
    <row r="28" spans="1:10">
      <c r="A28" s="7">
        <v>5</v>
      </c>
      <c r="B28" s="7" t="s">
        <v>139</v>
      </c>
      <c r="C28" s="7" t="s">
        <v>136</v>
      </c>
      <c r="D28" s="7" t="s">
        <v>79</v>
      </c>
      <c r="E28" s="7" t="s">
        <v>20</v>
      </c>
      <c r="F28" s="7" t="s">
        <v>69</v>
      </c>
      <c r="G28" s="12">
        <v>-4853.3149999999996</v>
      </c>
      <c r="H28" s="12" t="e">
        <f t="shared" ca="1" si="0"/>
        <v>#NAME?</v>
      </c>
      <c r="I28" s="12" t="e">
        <f t="shared" ca="1" si="1"/>
        <v>#NAME?</v>
      </c>
      <c r="J28" s="7" t="e">
        <f ca="1">IF(I28&lt;=Rules!$B$4,"supported","weaker")</f>
        <v>#NAME?</v>
      </c>
    </row>
    <row r="29" spans="1:10">
      <c r="A29" s="7">
        <v>6</v>
      </c>
      <c r="B29" s="7" t="s">
        <v>135</v>
      </c>
      <c r="C29" s="7" t="s">
        <v>137</v>
      </c>
      <c r="D29" s="7" t="s">
        <v>27</v>
      </c>
      <c r="E29" s="7" t="s">
        <v>25</v>
      </c>
      <c r="F29" s="7" t="s">
        <v>70</v>
      </c>
      <c r="G29" s="12">
        <v>-6105.4229999999998</v>
      </c>
      <c r="H29" s="12" t="e">
        <f t="shared" ca="1" si="0"/>
        <v>#NAME?</v>
      </c>
      <c r="I29" s="12" t="e">
        <f t="shared" ca="1" si="1"/>
        <v>#NAME?</v>
      </c>
      <c r="J29" s="7" t="e">
        <f ca="1">IF(I29&lt;=Rules!$B$4,"supported","weaker")</f>
        <v>#NAME?</v>
      </c>
    </row>
    <row r="30" spans="1:10">
      <c r="A30" s="7">
        <v>6</v>
      </c>
      <c r="B30" s="7" t="s">
        <v>138</v>
      </c>
      <c r="C30" s="7" t="s">
        <v>137</v>
      </c>
      <c r="D30" s="7" t="s">
        <v>27</v>
      </c>
      <c r="E30" s="7" t="s">
        <v>25</v>
      </c>
      <c r="F30" s="7" t="s">
        <v>70</v>
      </c>
      <c r="G30" s="12">
        <v>-6094.1440000000002</v>
      </c>
      <c r="H30" s="12" t="e">
        <f t="shared" ca="1" si="0"/>
        <v>#NAME?</v>
      </c>
      <c r="I30" s="12" t="e">
        <f t="shared" ca="1" si="1"/>
        <v>#NAME?</v>
      </c>
      <c r="J30" s="7" t="e">
        <f ca="1">IF(I30&lt;=Rules!$B$4,"supported","weaker")</f>
        <v>#NAME?</v>
      </c>
    </row>
    <row r="31" spans="1:10">
      <c r="A31" s="7">
        <v>6</v>
      </c>
      <c r="B31" s="7" t="s">
        <v>139</v>
      </c>
      <c r="C31" s="7" t="s">
        <v>137</v>
      </c>
      <c r="D31" s="7" t="s">
        <v>31</v>
      </c>
      <c r="E31" s="7" t="s">
        <v>25</v>
      </c>
      <c r="F31" s="7" t="s">
        <v>70</v>
      </c>
      <c r="G31" s="12">
        <v>-6152.0640000000003</v>
      </c>
      <c r="H31" s="12" t="e">
        <f t="shared" ca="1" si="0"/>
        <v>#NAME?</v>
      </c>
      <c r="I31" s="12" t="e">
        <f t="shared" ca="1" si="1"/>
        <v>#NAME?</v>
      </c>
      <c r="J31" s="7" t="e">
        <f ca="1">IF(I31&lt;=Rules!$B$4,"supported","weaker")</f>
        <v>#NAME?</v>
      </c>
    </row>
    <row r="32" spans="1:10">
      <c r="A32" s="7">
        <v>6</v>
      </c>
      <c r="B32" s="7" t="s">
        <v>139</v>
      </c>
      <c r="C32" s="7" t="s">
        <v>136</v>
      </c>
      <c r="D32" s="7" t="s">
        <v>27</v>
      </c>
      <c r="E32" s="7" t="s">
        <v>81</v>
      </c>
      <c r="F32" s="7" t="s">
        <v>69</v>
      </c>
      <c r="G32" s="12">
        <v>-6150.4690000000001</v>
      </c>
      <c r="H32" s="12" t="e">
        <f t="shared" ca="1" si="0"/>
        <v>#NAME?</v>
      </c>
      <c r="I32" s="12" t="e">
        <f t="shared" ca="1" si="1"/>
        <v>#NAME?</v>
      </c>
      <c r="J32" s="7" t="e">
        <f ca="1">IF(I32&lt;=Rules!$B$4,"supported","weaker")</f>
        <v>#NAME?</v>
      </c>
    </row>
    <row r="33" spans="1:10">
      <c r="A33" s="7">
        <v>7</v>
      </c>
      <c r="B33" s="7" t="s">
        <v>135</v>
      </c>
      <c r="C33" s="7" t="s">
        <v>136</v>
      </c>
      <c r="D33" s="7" t="s">
        <v>27</v>
      </c>
      <c r="E33" s="7" t="s">
        <v>20</v>
      </c>
      <c r="F33" s="7" t="s">
        <v>69</v>
      </c>
      <c r="G33" s="12">
        <v>-7439.28</v>
      </c>
      <c r="H33" s="12" t="e">
        <f t="shared" ca="1" si="0"/>
        <v>#NAME?</v>
      </c>
      <c r="I33" s="12" t="e">
        <f t="shared" ca="1" si="1"/>
        <v>#NAME?</v>
      </c>
      <c r="J33" s="7" t="e">
        <f ca="1">IF(I33&lt;=Rules!$B$4,"supported","weaker")</f>
        <v>#NAME?</v>
      </c>
    </row>
    <row r="34" spans="1:10">
      <c r="A34" s="7">
        <v>7</v>
      </c>
      <c r="B34" s="7" t="s">
        <v>135</v>
      </c>
      <c r="C34" s="7" t="s">
        <v>137</v>
      </c>
      <c r="D34" s="7" t="s">
        <v>33</v>
      </c>
      <c r="E34" s="7" t="s">
        <v>25</v>
      </c>
      <c r="F34" s="7" t="s">
        <v>70</v>
      </c>
      <c r="G34" s="12">
        <v>-7430.7910000000002</v>
      </c>
      <c r="H34" s="12" t="e">
        <f t="shared" ca="1" si="0"/>
        <v>#NAME?</v>
      </c>
      <c r="I34" s="12" t="e">
        <f t="shared" ca="1" si="1"/>
        <v>#NAME?</v>
      </c>
      <c r="J34" s="7" t="e">
        <f ca="1">IF(I34&lt;=Rules!$B$4,"supported","weaker")</f>
        <v>#NAME?</v>
      </c>
    </row>
    <row r="35" spans="1:10">
      <c r="A35" s="7">
        <v>7</v>
      </c>
      <c r="B35" s="7" t="s">
        <v>138</v>
      </c>
      <c r="C35" s="7" t="s">
        <v>136</v>
      </c>
      <c r="D35" s="7" t="s">
        <v>27</v>
      </c>
      <c r="E35" s="7" t="s">
        <v>20</v>
      </c>
      <c r="F35" s="7" t="s">
        <v>69</v>
      </c>
      <c r="G35" s="12">
        <v>-7436.1180000000004</v>
      </c>
      <c r="H35" s="12" t="e">
        <f t="shared" ca="1" si="0"/>
        <v>#NAME?</v>
      </c>
      <c r="I35" s="12" t="e">
        <f t="shared" ca="1" si="1"/>
        <v>#NAME?</v>
      </c>
      <c r="J35" s="7" t="e">
        <f ca="1">IF(I35&lt;=Rules!$B$4,"supported","weaker")</f>
        <v>#NAME?</v>
      </c>
    </row>
    <row r="36" spans="1:10">
      <c r="A36" s="7">
        <v>7</v>
      </c>
      <c r="B36" s="7" t="s">
        <v>138</v>
      </c>
      <c r="C36" s="7" t="s">
        <v>137</v>
      </c>
      <c r="D36" s="7" t="s">
        <v>27</v>
      </c>
      <c r="E36" s="7" t="s">
        <v>25</v>
      </c>
      <c r="F36" s="7" t="s">
        <v>70</v>
      </c>
      <c r="G36" s="12">
        <v>-7435.07</v>
      </c>
      <c r="H36" s="12" t="e">
        <f t="shared" ca="1" si="0"/>
        <v>#NAME?</v>
      </c>
      <c r="I36" s="12" t="e">
        <f t="shared" ca="1" si="1"/>
        <v>#NAME?</v>
      </c>
      <c r="J36" s="7" t="e">
        <f ca="1">IF(I36&lt;=Rules!$B$4,"supported","weaker")</f>
        <v>#NAME?</v>
      </c>
    </row>
    <row r="37" spans="1:10">
      <c r="A37" s="7">
        <v>7</v>
      </c>
      <c r="B37" s="7" t="s">
        <v>139</v>
      </c>
      <c r="C37" s="7" t="s">
        <v>137</v>
      </c>
      <c r="D37" s="7" t="s">
        <v>19</v>
      </c>
      <c r="E37" s="7" t="s">
        <v>25</v>
      </c>
      <c r="F37" s="7" t="s">
        <v>70</v>
      </c>
      <c r="G37" s="12">
        <v>-7458.3680000000004</v>
      </c>
      <c r="H37" s="12" t="e">
        <f t="shared" ref="H37:H68" ca="1" si="2">_xludf.MINIFS($G$5:$G$68,$A$5:$A$68,A37,$B$5:$B$68,B37)</f>
        <v>#NAME?</v>
      </c>
      <c r="I37" s="12" t="e">
        <f t="shared" ref="I37:I68" ca="1" si="3">G37-H37</f>
        <v>#NAME?</v>
      </c>
      <c r="J37" s="7" t="e">
        <f ca="1">IF(I37&lt;=Rules!$B$4,"supported","weaker")</f>
        <v>#NAME?</v>
      </c>
    </row>
    <row r="38" spans="1:10">
      <c r="A38" s="7">
        <v>8</v>
      </c>
      <c r="B38" s="7" t="s">
        <v>135</v>
      </c>
      <c r="C38" s="7" t="s">
        <v>137</v>
      </c>
      <c r="D38" s="7" t="s">
        <v>24</v>
      </c>
      <c r="E38" s="7" t="s">
        <v>25</v>
      </c>
      <c r="F38" s="7" t="s">
        <v>70</v>
      </c>
      <c r="G38" s="12">
        <v>-6206.3540000000003</v>
      </c>
      <c r="H38" s="12" t="e">
        <f t="shared" ca="1" si="2"/>
        <v>#NAME?</v>
      </c>
      <c r="I38" s="12" t="e">
        <f t="shared" ca="1" si="3"/>
        <v>#NAME?</v>
      </c>
      <c r="J38" s="7" t="e">
        <f ca="1">IF(I38&lt;=Rules!$B$4,"supported","weaker")</f>
        <v>#NAME?</v>
      </c>
    </row>
    <row r="39" spans="1:10">
      <c r="A39" s="7">
        <v>8</v>
      </c>
      <c r="B39" s="7" t="s">
        <v>138</v>
      </c>
      <c r="C39" s="7" t="s">
        <v>136</v>
      </c>
      <c r="D39" s="7" t="s">
        <v>39</v>
      </c>
      <c r="E39" s="7" t="s">
        <v>25</v>
      </c>
      <c r="F39" s="7" t="s">
        <v>70</v>
      </c>
      <c r="G39" s="12">
        <v>-6206.5540000000001</v>
      </c>
      <c r="H39" s="12" t="e">
        <f t="shared" ca="1" si="2"/>
        <v>#NAME?</v>
      </c>
      <c r="I39" s="12" t="e">
        <f t="shared" ca="1" si="3"/>
        <v>#NAME?</v>
      </c>
      <c r="J39" s="7" t="e">
        <f ca="1">IF(I39&lt;=Rules!$B$4,"supported","weaker")</f>
        <v>#NAME?</v>
      </c>
    </row>
    <row r="40" spans="1:10">
      <c r="A40" s="7">
        <v>8</v>
      </c>
      <c r="B40" s="7" t="s">
        <v>138</v>
      </c>
      <c r="C40" s="7" t="s">
        <v>137</v>
      </c>
      <c r="D40" s="7" t="s">
        <v>24</v>
      </c>
      <c r="E40" s="7" t="s">
        <v>25</v>
      </c>
      <c r="F40" s="7" t="s">
        <v>70</v>
      </c>
      <c r="G40" s="12">
        <v>-6205.3410000000003</v>
      </c>
      <c r="H40" s="12" t="e">
        <f t="shared" ca="1" si="2"/>
        <v>#NAME?</v>
      </c>
      <c r="I40" s="12" t="e">
        <f t="shared" ca="1" si="3"/>
        <v>#NAME?</v>
      </c>
      <c r="J40" s="7" t="e">
        <f ca="1">IF(I40&lt;=Rules!$B$4,"supported","weaker")</f>
        <v>#NAME?</v>
      </c>
    </row>
    <row r="41" spans="1:10">
      <c r="A41" s="7">
        <v>8</v>
      </c>
      <c r="B41" s="7" t="s">
        <v>139</v>
      </c>
      <c r="C41" s="7" t="s">
        <v>136</v>
      </c>
      <c r="D41" s="7" t="s">
        <v>27</v>
      </c>
      <c r="E41" s="7" t="s">
        <v>35</v>
      </c>
      <c r="F41" s="7" t="s">
        <v>69</v>
      </c>
      <c r="G41" s="12">
        <v>-6217.2420000000002</v>
      </c>
      <c r="H41" s="12" t="e">
        <f t="shared" ca="1" si="2"/>
        <v>#NAME?</v>
      </c>
      <c r="I41" s="12" t="e">
        <f t="shared" ca="1" si="3"/>
        <v>#NAME?</v>
      </c>
      <c r="J41" s="7" t="e">
        <f ca="1">IF(I41&lt;=Rules!$B$4,"supported","weaker")</f>
        <v>#NAME?</v>
      </c>
    </row>
    <row r="42" spans="1:10">
      <c r="A42" s="7">
        <v>8</v>
      </c>
      <c r="B42" s="7" t="s">
        <v>139</v>
      </c>
      <c r="C42" s="7" t="s">
        <v>137</v>
      </c>
      <c r="D42" s="7" t="s">
        <v>27</v>
      </c>
      <c r="E42" s="7" t="s">
        <v>25</v>
      </c>
      <c r="F42" s="7" t="s">
        <v>70</v>
      </c>
      <c r="G42" s="12">
        <v>-6216.7330000000002</v>
      </c>
      <c r="H42" s="12" t="e">
        <f t="shared" ca="1" si="2"/>
        <v>#NAME?</v>
      </c>
      <c r="I42" s="12" t="e">
        <f t="shared" ca="1" si="3"/>
        <v>#NAME?</v>
      </c>
      <c r="J42" s="7" t="e">
        <f ca="1">IF(I42&lt;=Rules!$B$4,"supported","weaker")</f>
        <v>#NAME?</v>
      </c>
    </row>
    <row r="43" spans="1:10">
      <c r="A43" s="7">
        <v>9</v>
      </c>
      <c r="B43" s="7" t="s">
        <v>135</v>
      </c>
      <c r="C43" s="7" t="s">
        <v>137</v>
      </c>
      <c r="D43" s="7" t="s">
        <v>85</v>
      </c>
      <c r="E43" s="7" t="s">
        <v>25</v>
      </c>
      <c r="F43" s="7" t="s">
        <v>70</v>
      </c>
      <c r="G43" s="12">
        <v>-5830.9520000000002</v>
      </c>
      <c r="H43" s="12" t="e">
        <f t="shared" ca="1" si="2"/>
        <v>#NAME?</v>
      </c>
      <c r="I43" s="12" t="e">
        <f t="shared" ca="1" si="3"/>
        <v>#NAME?</v>
      </c>
      <c r="J43" s="7" t="e">
        <f ca="1">IF(I43&lt;=Rules!$B$4,"supported","weaker")</f>
        <v>#NAME?</v>
      </c>
    </row>
    <row r="44" spans="1:10">
      <c r="A44" s="7">
        <v>9</v>
      </c>
      <c r="B44" s="7" t="s">
        <v>138</v>
      </c>
      <c r="C44" s="7" t="s">
        <v>137</v>
      </c>
      <c r="D44" s="7" t="s">
        <v>31</v>
      </c>
      <c r="E44" s="7" t="s">
        <v>25</v>
      </c>
      <c r="F44" s="7" t="s">
        <v>70</v>
      </c>
      <c r="G44" s="12">
        <v>-5828.8249999999998</v>
      </c>
      <c r="H44" s="12" t="e">
        <f t="shared" ca="1" si="2"/>
        <v>#NAME?</v>
      </c>
      <c r="I44" s="12" t="e">
        <f t="shared" ca="1" si="3"/>
        <v>#NAME?</v>
      </c>
      <c r="J44" s="7" t="e">
        <f ca="1">IF(I44&lt;=Rules!$B$4,"supported","weaker")</f>
        <v>#NAME?</v>
      </c>
    </row>
    <row r="45" spans="1:10">
      <c r="A45" s="7">
        <v>9</v>
      </c>
      <c r="B45" s="7" t="s">
        <v>138</v>
      </c>
      <c r="C45" s="7" t="s">
        <v>136</v>
      </c>
      <c r="D45" s="7" t="s">
        <v>27</v>
      </c>
      <c r="E45" s="7" t="s">
        <v>25</v>
      </c>
      <c r="F45" s="7" t="s">
        <v>70</v>
      </c>
      <c r="G45" s="12">
        <v>-5821.4449999999997</v>
      </c>
      <c r="H45" s="12" t="e">
        <f t="shared" ca="1" si="2"/>
        <v>#NAME?</v>
      </c>
      <c r="I45" s="12" t="e">
        <f t="shared" ca="1" si="3"/>
        <v>#NAME?</v>
      </c>
      <c r="J45" s="7" t="e">
        <f ca="1">IF(I45&lt;=Rules!$B$4,"supported","weaker")</f>
        <v>#NAME?</v>
      </c>
    </row>
    <row r="46" spans="1:10">
      <c r="A46" s="7">
        <v>9</v>
      </c>
      <c r="B46" s="7" t="s">
        <v>139</v>
      </c>
      <c r="C46" s="7" t="s">
        <v>137</v>
      </c>
      <c r="D46" s="7" t="s">
        <v>48</v>
      </c>
      <c r="E46" s="7" t="s">
        <v>25</v>
      </c>
      <c r="F46" s="7" t="s">
        <v>70</v>
      </c>
      <c r="G46" s="12">
        <v>-5834.7139999999999</v>
      </c>
      <c r="H46" s="12" t="e">
        <f t="shared" ca="1" si="2"/>
        <v>#NAME?</v>
      </c>
      <c r="I46" s="12" t="e">
        <f t="shared" ca="1" si="3"/>
        <v>#NAME?</v>
      </c>
      <c r="J46" s="7" t="e">
        <f ca="1">IF(I46&lt;=Rules!$B$4,"supported","weaker")</f>
        <v>#NAME?</v>
      </c>
    </row>
    <row r="47" spans="1:10">
      <c r="A47" s="7">
        <v>10</v>
      </c>
      <c r="B47" s="7" t="s">
        <v>135</v>
      </c>
      <c r="C47" s="7" t="s">
        <v>137</v>
      </c>
      <c r="D47" s="7" t="s">
        <v>33</v>
      </c>
      <c r="E47" s="7" t="s">
        <v>25</v>
      </c>
      <c r="F47" s="7" t="s">
        <v>70</v>
      </c>
      <c r="G47" s="12">
        <v>-4245.5609999999997</v>
      </c>
      <c r="H47" s="12" t="e">
        <f t="shared" ca="1" si="2"/>
        <v>#NAME?</v>
      </c>
      <c r="I47" s="12" t="e">
        <f t="shared" ca="1" si="3"/>
        <v>#NAME?</v>
      </c>
      <c r="J47" s="7" t="e">
        <f ca="1">IF(I47&lt;=Rules!$B$4,"supported","weaker")</f>
        <v>#NAME?</v>
      </c>
    </row>
    <row r="48" spans="1:10">
      <c r="A48" s="7">
        <v>10</v>
      </c>
      <c r="B48" s="7" t="s">
        <v>138</v>
      </c>
      <c r="C48" s="7" t="s">
        <v>136</v>
      </c>
      <c r="D48" s="7" t="s">
        <v>33</v>
      </c>
      <c r="E48" s="7" t="s">
        <v>40</v>
      </c>
      <c r="F48" s="7" t="s">
        <v>69</v>
      </c>
      <c r="G48" s="12">
        <v>-4241.3869999999997</v>
      </c>
      <c r="H48" s="12" t="e">
        <f t="shared" ca="1" si="2"/>
        <v>#NAME?</v>
      </c>
      <c r="I48" s="12" t="e">
        <f t="shared" ca="1" si="3"/>
        <v>#NAME?</v>
      </c>
      <c r="J48" s="7" t="e">
        <f ca="1">IF(I48&lt;=Rules!$B$4,"supported","weaker")</f>
        <v>#NAME?</v>
      </c>
    </row>
    <row r="49" spans="1:10">
      <c r="A49" s="7">
        <v>10</v>
      </c>
      <c r="B49" s="7" t="s">
        <v>138</v>
      </c>
      <c r="C49" s="7" t="s">
        <v>137</v>
      </c>
      <c r="D49" s="7" t="s">
        <v>33</v>
      </c>
      <c r="E49" s="7" t="s">
        <v>25</v>
      </c>
      <c r="F49" s="7" t="s">
        <v>70</v>
      </c>
      <c r="G49" s="12">
        <v>-4241.2579999999998</v>
      </c>
      <c r="H49" s="12" t="e">
        <f t="shared" ca="1" si="2"/>
        <v>#NAME?</v>
      </c>
      <c r="I49" s="12" t="e">
        <f t="shared" ca="1" si="3"/>
        <v>#NAME?</v>
      </c>
      <c r="J49" s="7" t="e">
        <f ca="1">IF(I49&lt;=Rules!$B$4,"supported","weaker")</f>
        <v>#NAME?</v>
      </c>
    </row>
    <row r="50" spans="1:10">
      <c r="A50" s="7">
        <v>10</v>
      </c>
      <c r="B50" s="7" t="s">
        <v>139</v>
      </c>
      <c r="C50" s="7" t="s">
        <v>137</v>
      </c>
      <c r="D50" s="7" t="s">
        <v>33</v>
      </c>
      <c r="E50" s="7" t="s">
        <v>25</v>
      </c>
      <c r="F50" s="7" t="s">
        <v>70</v>
      </c>
      <c r="G50" s="12">
        <v>-4258.7700000000004</v>
      </c>
      <c r="H50" s="12" t="e">
        <f t="shared" ca="1" si="2"/>
        <v>#NAME?</v>
      </c>
      <c r="I50" s="12" t="e">
        <f t="shared" ca="1" si="3"/>
        <v>#NAME?</v>
      </c>
      <c r="J50" s="7" t="e">
        <f ca="1">IF(I50&lt;=Rules!$B$4,"supported","weaker")</f>
        <v>#NAME?</v>
      </c>
    </row>
    <row r="51" spans="1:10">
      <c r="A51" s="7">
        <v>11</v>
      </c>
      <c r="B51" s="7" t="s">
        <v>135</v>
      </c>
      <c r="C51" s="7" t="s">
        <v>136</v>
      </c>
      <c r="D51" s="7" t="s">
        <v>19</v>
      </c>
      <c r="E51" s="7" t="s">
        <v>35</v>
      </c>
      <c r="F51" s="7" t="s">
        <v>69</v>
      </c>
      <c r="G51" s="12">
        <v>-4972.1289999999999</v>
      </c>
      <c r="H51" s="12" t="e">
        <f t="shared" ca="1" si="2"/>
        <v>#NAME?</v>
      </c>
      <c r="I51" s="12" t="e">
        <f t="shared" ca="1" si="3"/>
        <v>#NAME?</v>
      </c>
      <c r="J51" s="7" t="e">
        <f ca="1">IF(I51&lt;=Rules!$B$4,"supported","weaker")</f>
        <v>#NAME?</v>
      </c>
    </row>
    <row r="52" spans="1:10">
      <c r="A52" s="7">
        <v>11</v>
      </c>
      <c r="B52" s="7" t="s">
        <v>135</v>
      </c>
      <c r="C52" s="7" t="s">
        <v>137</v>
      </c>
      <c r="D52" s="7" t="s">
        <v>24</v>
      </c>
      <c r="E52" s="7" t="s">
        <v>25</v>
      </c>
      <c r="F52" s="7" t="s">
        <v>70</v>
      </c>
      <c r="G52" s="12">
        <v>-4965.8649999999998</v>
      </c>
      <c r="H52" s="12" t="e">
        <f t="shared" ca="1" si="2"/>
        <v>#NAME?</v>
      </c>
      <c r="I52" s="12" t="e">
        <f t="shared" ca="1" si="3"/>
        <v>#NAME?</v>
      </c>
      <c r="J52" s="7" t="e">
        <f ca="1">IF(I52&lt;=Rules!$B$4,"supported","weaker")</f>
        <v>#NAME?</v>
      </c>
    </row>
    <row r="53" spans="1:10">
      <c r="A53" s="7">
        <v>11</v>
      </c>
      <c r="B53" s="7" t="s">
        <v>138</v>
      </c>
      <c r="C53" s="7" t="s">
        <v>136</v>
      </c>
      <c r="D53" s="7" t="s">
        <v>19</v>
      </c>
      <c r="E53" s="7" t="s">
        <v>20</v>
      </c>
      <c r="F53" s="7" t="s">
        <v>69</v>
      </c>
      <c r="G53" s="12">
        <v>-4970.1469999999999</v>
      </c>
      <c r="H53" s="12" t="e">
        <f t="shared" ca="1" si="2"/>
        <v>#NAME?</v>
      </c>
      <c r="I53" s="12" t="e">
        <f t="shared" ca="1" si="3"/>
        <v>#NAME?</v>
      </c>
      <c r="J53" s="7" t="e">
        <f ca="1">IF(I53&lt;=Rules!$B$4,"supported","weaker")</f>
        <v>#NAME?</v>
      </c>
    </row>
    <row r="54" spans="1:10">
      <c r="A54" s="7">
        <v>11</v>
      </c>
      <c r="B54" s="7" t="s">
        <v>138</v>
      </c>
      <c r="C54" s="7" t="s">
        <v>137</v>
      </c>
      <c r="D54" s="7" t="s">
        <v>24</v>
      </c>
      <c r="E54" s="7" t="s">
        <v>25</v>
      </c>
      <c r="F54" s="7" t="s">
        <v>70</v>
      </c>
      <c r="G54" s="12">
        <v>-4964.0249999999996</v>
      </c>
      <c r="H54" s="12" t="e">
        <f t="shared" ca="1" si="2"/>
        <v>#NAME?</v>
      </c>
      <c r="I54" s="12" t="e">
        <f t="shared" ca="1" si="3"/>
        <v>#NAME?</v>
      </c>
      <c r="J54" s="7" t="e">
        <f ca="1">IF(I54&lt;=Rules!$B$4,"supported","weaker")</f>
        <v>#NAME?</v>
      </c>
    </row>
    <row r="55" spans="1:10">
      <c r="A55" s="7">
        <v>11</v>
      </c>
      <c r="B55" s="7" t="s">
        <v>139</v>
      </c>
      <c r="C55" s="7" t="s">
        <v>136</v>
      </c>
      <c r="D55" s="7" t="s">
        <v>24</v>
      </c>
      <c r="E55" s="7" t="s">
        <v>35</v>
      </c>
      <c r="F55" s="7" t="s">
        <v>69</v>
      </c>
      <c r="G55" s="12">
        <v>-4971.1440000000002</v>
      </c>
      <c r="H55" s="12" t="e">
        <f t="shared" ca="1" si="2"/>
        <v>#NAME?</v>
      </c>
      <c r="I55" s="12" t="e">
        <f t="shared" ca="1" si="3"/>
        <v>#NAME?</v>
      </c>
      <c r="J55" s="7" t="e">
        <f ca="1">IF(I55&lt;=Rules!$B$4,"supported","weaker")</f>
        <v>#NAME?</v>
      </c>
    </row>
    <row r="56" spans="1:10">
      <c r="A56" s="7">
        <v>11</v>
      </c>
      <c r="B56" s="7" t="s">
        <v>139</v>
      </c>
      <c r="C56" s="7" t="s">
        <v>137</v>
      </c>
      <c r="D56" s="7" t="s">
        <v>24</v>
      </c>
      <c r="E56" s="7" t="s">
        <v>25</v>
      </c>
      <c r="F56" s="7" t="s">
        <v>70</v>
      </c>
      <c r="G56" s="12">
        <v>-4968.1850000000004</v>
      </c>
      <c r="H56" s="12" t="e">
        <f t="shared" ca="1" si="2"/>
        <v>#NAME?</v>
      </c>
      <c r="I56" s="12" t="e">
        <f t="shared" ca="1" si="3"/>
        <v>#NAME?</v>
      </c>
      <c r="J56" s="7" t="e">
        <f ca="1">IF(I56&lt;=Rules!$B$4,"supported","weaker")</f>
        <v>#NAME?</v>
      </c>
    </row>
    <row r="57" spans="1:10">
      <c r="A57" s="7">
        <v>12</v>
      </c>
      <c r="B57" s="7" t="s">
        <v>135</v>
      </c>
      <c r="C57" s="7" t="s">
        <v>137</v>
      </c>
      <c r="D57" s="7" t="s">
        <v>37</v>
      </c>
      <c r="E57" s="7" t="s">
        <v>25</v>
      </c>
      <c r="F57" s="7" t="s">
        <v>70</v>
      </c>
      <c r="G57" s="12">
        <v>-7089.26</v>
      </c>
      <c r="H57" s="12" t="e">
        <f t="shared" ca="1" si="2"/>
        <v>#NAME?</v>
      </c>
      <c r="I57" s="12" t="e">
        <f t="shared" ca="1" si="3"/>
        <v>#NAME?</v>
      </c>
      <c r="J57" s="7" t="e">
        <f ca="1">IF(I57&lt;=Rules!$B$4,"supported","weaker")</f>
        <v>#NAME?</v>
      </c>
    </row>
    <row r="58" spans="1:10">
      <c r="A58" s="7">
        <v>12</v>
      </c>
      <c r="B58" s="7" t="s">
        <v>135</v>
      </c>
      <c r="C58" s="7" t="s">
        <v>136</v>
      </c>
      <c r="D58" s="7" t="s">
        <v>51</v>
      </c>
      <c r="E58" s="7" t="s">
        <v>25</v>
      </c>
      <c r="F58" s="7" t="s">
        <v>70</v>
      </c>
      <c r="G58" s="12">
        <v>-7087.9930000000004</v>
      </c>
      <c r="H58" s="12" t="e">
        <f t="shared" ca="1" si="2"/>
        <v>#NAME?</v>
      </c>
      <c r="I58" s="12" t="e">
        <f t="shared" ca="1" si="3"/>
        <v>#NAME?</v>
      </c>
      <c r="J58" s="7" t="e">
        <f ca="1">IF(I58&lt;=Rules!$B$4,"supported","weaker")</f>
        <v>#NAME?</v>
      </c>
    </row>
    <row r="59" spans="1:10">
      <c r="A59" s="7">
        <v>12</v>
      </c>
      <c r="B59" s="7" t="s">
        <v>138</v>
      </c>
      <c r="C59" s="7" t="s">
        <v>137</v>
      </c>
      <c r="D59" s="7" t="s">
        <v>37</v>
      </c>
      <c r="E59" s="7" t="s">
        <v>25</v>
      </c>
      <c r="F59" s="7" t="s">
        <v>70</v>
      </c>
      <c r="G59" s="12">
        <v>-7082.1210000000001</v>
      </c>
      <c r="H59" s="12" t="e">
        <f t="shared" ca="1" si="2"/>
        <v>#NAME?</v>
      </c>
      <c r="I59" s="12" t="e">
        <f t="shared" ca="1" si="3"/>
        <v>#NAME?</v>
      </c>
      <c r="J59" s="7" t="e">
        <f ca="1">IF(I59&lt;=Rules!$B$4,"supported","weaker")</f>
        <v>#NAME?</v>
      </c>
    </row>
    <row r="60" spans="1:10">
      <c r="A60" s="7">
        <v>12</v>
      </c>
      <c r="B60" s="7" t="s">
        <v>138</v>
      </c>
      <c r="C60" s="7" t="s">
        <v>136</v>
      </c>
      <c r="D60" s="7" t="s">
        <v>51</v>
      </c>
      <c r="E60" s="7" t="s">
        <v>25</v>
      </c>
      <c r="F60" s="7" t="s">
        <v>70</v>
      </c>
      <c r="G60" s="12">
        <v>-7081.2740000000003</v>
      </c>
      <c r="H60" s="12" t="e">
        <f t="shared" ca="1" si="2"/>
        <v>#NAME?</v>
      </c>
      <c r="I60" s="12" t="e">
        <f t="shared" ca="1" si="3"/>
        <v>#NAME?</v>
      </c>
      <c r="J60" s="7" t="e">
        <f ca="1">IF(I60&lt;=Rules!$B$4,"supported","weaker")</f>
        <v>#NAME?</v>
      </c>
    </row>
    <row r="61" spans="1:10">
      <c r="A61" s="7">
        <v>12</v>
      </c>
      <c r="B61" s="7" t="s">
        <v>139</v>
      </c>
      <c r="C61" s="7" t="s">
        <v>136</v>
      </c>
      <c r="D61" s="7" t="s">
        <v>45</v>
      </c>
      <c r="E61" s="7" t="s">
        <v>25</v>
      </c>
      <c r="F61" s="7" t="s">
        <v>70</v>
      </c>
      <c r="G61" s="12">
        <v>-7119.6549999999997</v>
      </c>
      <c r="H61" s="12" t="e">
        <f t="shared" ca="1" si="2"/>
        <v>#NAME?</v>
      </c>
      <c r="I61" s="12" t="e">
        <f t="shared" ca="1" si="3"/>
        <v>#NAME?</v>
      </c>
      <c r="J61" s="7" t="e">
        <f ca="1">IF(I61&lt;=Rules!$B$4,"supported","weaker")</f>
        <v>#NAME?</v>
      </c>
    </row>
    <row r="62" spans="1:10">
      <c r="A62" s="7">
        <v>12</v>
      </c>
      <c r="B62" s="7" t="s">
        <v>139</v>
      </c>
      <c r="C62" s="7" t="s">
        <v>137</v>
      </c>
      <c r="D62" s="7" t="s">
        <v>37</v>
      </c>
      <c r="E62" s="7" t="s">
        <v>25</v>
      </c>
      <c r="F62" s="7" t="s">
        <v>70</v>
      </c>
      <c r="G62" s="12">
        <v>-7113.1620000000003</v>
      </c>
      <c r="H62" s="12" t="e">
        <f t="shared" ca="1" si="2"/>
        <v>#NAME?</v>
      </c>
      <c r="I62" s="12" t="e">
        <f t="shared" ca="1" si="3"/>
        <v>#NAME?</v>
      </c>
      <c r="J62" s="7" t="e">
        <f ca="1">IF(I62&lt;=Rules!$B$4,"supported","weaker")</f>
        <v>#NAME?</v>
      </c>
    </row>
    <row r="63" spans="1:10">
      <c r="A63" s="7">
        <v>13</v>
      </c>
      <c r="B63" s="7" t="s">
        <v>135</v>
      </c>
      <c r="C63" s="7" t="s">
        <v>136</v>
      </c>
      <c r="D63" s="7" t="s">
        <v>88</v>
      </c>
      <c r="E63" s="7" t="s">
        <v>89</v>
      </c>
      <c r="F63" s="7" t="s">
        <v>69</v>
      </c>
      <c r="G63" s="12">
        <v>-2477.2660000000001</v>
      </c>
      <c r="H63" s="12" t="e">
        <f t="shared" ca="1" si="2"/>
        <v>#NAME?</v>
      </c>
      <c r="I63" s="12" t="e">
        <f t="shared" ca="1" si="3"/>
        <v>#NAME?</v>
      </c>
      <c r="J63" s="7" t="e">
        <f ca="1">IF(I63&lt;=Rules!$B$4,"supported","weaker")</f>
        <v>#NAME?</v>
      </c>
    </row>
    <row r="64" spans="1:10">
      <c r="A64" s="7">
        <v>13</v>
      </c>
      <c r="B64" s="7" t="s">
        <v>135</v>
      </c>
      <c r="C64" s="7" t="s">
        <v>137</v>
      </c>
      <c r="D64" s="7" t="s">
        <v>48</v>
      </c>
      <c r="E64" s="7" t="s">
        <v>25</v>
      </c>
      <c r="F64" s="7" t="s">
        <v>70</v>
      </c>
      <c r="G64" s="12">
        <v>-2466.0729999999999</v>
      </c>
      <c r="H64" s="12" t="e">
        <f t="shared" ca="1" si="2"/>
        <v>#NAME?</v>
      </c>
      <c r="I64" s="12" t="e">
        <f t="shared" ca="1" si="3"/>
        <v>#NAME?</v>
      </c>
      <c r="J64" s="7" t="e">
        <f ca="1">IF(I64&lt;=Rules!$B$4,"supported","weaker")</f>
        <v>#NAME?</v>
      </c>
    </row>
    <row r="65" spans="1:10">
      <c r="A65" s="7">
        <v>13</v>
      </c>
      <c r="B65" s="7" t="s">
        <v>138</v>
      </c>
      <c r="C65" s="7" t="s">
        <v>136</v>
      </c>
      <c r="D65" s="7" t="s">
        <v>39</v>
      </c>
      <c r="E65" s="7" t="s">
        <v>40</v>
      </c>
      <c r="F65" s="7" t="s">
        <v>69</v>
      </c>
      <c r="G65" s="12">
        <v>-2467.8989999999999</v>
      </c>
      <c r="H65" s="12" t="e">
        <f t="shared" ca="1" si="2"/>
        <v>#NAME?</v>
      </c>
      <c r="I65" s="12" t="e">
        <f t="shared" ca="1" si="3"/>
        <v>#NAME?</v>
      </c>
      <c r="J65" s="7" t="e">
        <f ca="1">IF(I65&lt;=Rules!$B$4,"supported","weaker")</f>
        <v>#NAME?</v>
      </c>
    </row>
    <row r="66" spans="1:10">
      <c r="A66" s="7">
        <v>13</v>
      </c>
      <c r="B66" s="7" t="s">
        <v>138</v>
      </c>
      <c r="C66" s="7" t="s">
        <v>137</v>
      </c>
      <c r="D66" s="7" t="s">
        <v>48</v>
      </c>
      <c r="E66" s="7" t="s">
        <v>25</v>
      </c>
      <c r="F66" s="7" t="s">
        <v>70</v>
      </c>
      <c r="G66" s="12">
        <v>-2462.3389999999999</v>
      </c>
      <c r="H66" s="12" t="e">
        <f t="shared" ca="1" si="2"/>
        <v>#NAME?</v>
      </c>
      <c r="I66" s="12" t="e">
        <f t="shared" ca="1" si="3"/>
        <v>#NAME?</v>
      </c>
      <c r="J66" s="7" t="e">
        <f ca="1">IF(I66&lt;=Rules!$B$4,"supported","weaker")</f>
        <v>#NAME?</v>
      </c>
    </row>
    <row r="67" spans="1:10">
      <c r="A67" s="7">
        <v>13</v>
      </c>
      <c r="B67" s="7" t="s">
        <v>139</v>
      </c>
      <c r="C67" s="7" t="s">
        <v>136</v>
      </c>
      <c r="D67" s="7" t="s">
        <v>93</v>
      </c>
      <c r="E67" s="7" t="s">
        <v>89</v>
      </c>
      <c r="F67" s="7" t="s">
        <v>69</v>
      </c>
      <c r="G67" s="12">
        <v>-2495.4229999999998</v>
      </c>
      <c r="H67" s="12" t="e">
        <f t="shared" ca="1" si="2"/>
        <v>#NAME?</v>
      </c>
      <c r="I67" s="12" t="e">
        <f t="shared" ca="1" si="3"/>
        <v>#NAME?</v>
      </c>
      <c r="J67" s="7" t="e">
        <f ca="1">IF(I67&lt;=Rules!$B$4,"supported","weaker")</f>
        <v>#NAME?</v>
      </c>
    </row>
    <row r="68" spans="1:10">
      <c r="A68" s="7">
        <v>13</v>
      </c>
      <c r="B68" s="7" t="s">
        <v>139</v>
      </c>
      <c r="C68" s="7" t="s">
        <v>137</v>
      </c>
      <c r="D68" s="7" t="s">
        <v>91</v>
      </c>
      <c r="E68" s="7" t="s">
        <v>25</v>
      </c>
      <c r="F68" s="7" t="s">
        <v>70</v>
      </c>
      <c r="G68" s="12">
        <v>-2491.09</v>
      </c>
      <c r="H68" s="12" t="e">
        <f t="shared" ca="1" si="2"/>
        <v>#NAME?</v>
      </c>
      <c r="I68" s="12" t="e">
        <f t="shared" ca="1" si="3"/>
        <v>#NAME?</v>
      </c>
      <c r="J68" s="7" t="e">
        <f ca="1">IF(I68&lt;=Rules!$B$4,"supported","weaker")</f>
        <v>#NAME?</v>
      </c>
    </row>
  </sheetData>
  <mergeCells count="2">
    <mergeCell ref="A1:J1"/>
    <mergeCell ref="A2:J2"/>
  </mergeCells>
  <conditionalFormatting sqref="J5:J68">
    <cfRule type="containsText" dxfId="1" priority="1" operator="containsText" text="supported"/>
    <cfRule type="containsText" dxfId="0" priority="2" operator="containsText" text="weaker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showGridLines="0" workbookViewId="0"/>
  </sheetViews>
  <sheetFormatPr defaultRowHeight="13.8"/>
  <cols>
    <col min="1" max="10" width="18" customWidth="1"/>
  </cols>
  <sheetData>
    <row r="1" spans="1:10" ht="30" customHeight="1">
      <c r="A1" s="1" t="s">
        <v>3</v>
      </c>
      <c r="B1" s="2" t="s">
        <v>129</v>
      </c>
      <c r="C1" s="2" t="s">
        <v>140</v>
      </c>
      <c r="D1" s="2" t="s">
        <v>141</v>
      </c>
      <c r="E1" s="2" t="s">
        <v>142</v>
      </c>
      <c r="F1" s="9" t="s">
        <v>143</v>
      </c>
      <c r="G1" s="9" t="s">
        <v>144</v>
      </c>
      <c r="H1" s="9" t="s">
        <v>145</v>
      </c>
      <c r="I1" s="2" t="s">
        <v>146</v>
      </c>
      <c r="J1" s="3" t="s">
        <v>147</v>
      </c>
    </row>
    <row r="2" spans="1:10">
      <c r="A2" s="5" t="s">
        <v>148</v>
      </c>
      <c r="B2" s="5" t="s">
        <v>135</v>
      </c>
      <c r="C2" s="5" t="s">
        <v>19</v>
      </c>
      <c r="D2" s="5" t="s">
        <v>19</v>
      </c>
      <c r="E2" s="5" t="s">
        <v>20</v>
      </c>
      <c r="F2" s="5" t="s">
        <v>149</v>
      </c>
      <c r="G2" s="5" t="s">
        <v>150</v>
      </c>
      <c r="H2" s="5" t="s">
        <v>151</v>
      </c>
      <c r="I2" s="5" t="s">
        <v>152</v>
      </c>
      <c r="J2" s="5" t="s">
        <v>153</v>
      </c>
    </row>
    <row r="3" spans="1:10">
      <c r="A3" s="7" t="s">
        <v>148</v>
      </c>
      <c r="B3" s="7" t="s">
        <v>138</v>
      </c>
      <c r="C3" s="7" t="s">
        <v>19</v>
      </c>
      <c r="D3" s="7" t="s">
        <v>19</v>
      </c>
      <c r="E3" s="7" t="s">
        <v>20</v>
      </c>
      <c r="F3" s="7" t="s">
        <v>154</v>
      </c>
      <c r="G3" s="7" t="s">
        <v>155</v>
      </c>
      <c r="H3" s="7" t="s">
        <v>156</v>
      </c>
      <c r="I3" s="7" t="s">
        <v>152</v>
      </c>
      <c r="J3" s="7" t="s">
        <v>153</v>
      </c>
    </row>
    <row r="4" spans="1:10">
      <c r="A4" s="7" t="s">
        <v>148</v>
      </c>
      <c r="B4" s="7" t="s">
        <v>139</v>
      </c>
      <c r="C4" s="7" t="s">
        <v>19</v>
      </c>
      <c r="D4" s="7" t="s">
        <v>19</v>
      </c>
      <c r="E4" s="7" t="s">
        <v>20</v>
      </c>
      <c r="F4" s="7" t="s">
        <v>157</v>
      </c>
      <c r="G4" s="7" t="s">
        <v>158</v>
      </c>
      <c r="H4" s="7" t="s">
        <v>159</v>
      </c>
      <c r="I4" s="7" t="s">
        <v>152</v>
      </c>
      <c r="J4" s="7" t="s">
        <v>153</v>
      </c>
    </row>
    <row r="5" spans="1:10">
      <c r="A5" s="7" t="s">
        <v>160</v>
      </c>
      <c r="B5" s="7" t="s">
        <v>135</v>
      </c>
      <c r="C5" s="7" t="s">
        <v>24</v>
      </c>
      <c r="D5" s="7" t="s">
        <v>24</v>
      </c>
      <c r="E5" s="7" t="s">
        <v>161</v>
      </c>
      <c r="F5" s="7" t="s">
        <v>162</v>
      </c>
      <c r="G5" s="7" t="s">
        <v>162</v>
      </c>
      <c r="H5" s="7" t="s">
        <v>163</v>
      </c>
      <c r="I5" s="7" t="s">
        <v>164</v>
      </c>
      <c r="J5" s="7" t="s">
        <v>165</v>
      </c>
    </row>
    <row r="6" spans="1:10">
      <c r="A6" s="7" t="s">
        <v>160</v>
      </c>
      <c r="B6" s="7" t="s">
        <v>138</v>
      </c>
      <c r="C6" s="7" t="s">
        <v>24</v>
      </c>
      <c r="D6" s="7" t="s">
        <v>24</v>
      </c>
      <c r="E6" s="7" t="s">
        <v>161</v>
      </c>
      <c r="F6" s="7" t="s">
        <v>166</v>
      </c>
      <c r="G6" s="7" t="s">
        <v>166</v>
      </c>
      <c r="H6" s="7" t="s">
        <v>163</v>
      </c>
      <c r="I6" s="7" t="s">
        <v>164</v>
      </c>
      <c r="J6" s="7" t="s">
        <v>165</v>
      </c>
    </row>
    <row r="7" spans="1:10">
      <c r="A7" s="7" t="s">
        <v>160</v>
      </c>
      <c r="B7" s="7" t="s">
        <v>139</v>
      </c>
      <c r="C7" s="7" t="s">
        <v>24</v>
      </c>
      <c r="D7" s="7" t="s">
        <v>24</v>
      </c>
      <c r="E7" s="7" t="s">
        <v>161</v>
      </c>
      <c r="F7" s="7" t="s">
        <v>167</v>
      </c>
      <c r="G7" s="7" t="s">
        <v>167</v>
      </c>
      <c r="H7" s="7" t="s">
        <v>163</v>
      </c>
      <c r="I7" s="7" t="s">
        <v>164</v>
      </c>
      <c r="J7" s="7" t="s">
        <v>165</v>
      </c>
    </row>
    <row r="8" spans="1:10">
      <c r="A8" s="7" t="s">
        <v>168</v>
      </c>
      <c r="B8" s="7" t="s">
        <v>135</v>
      </c>
      <c r="C8" s="7" t="s">
        <v>24</v>
      </c>
      <c r="D8" s="7" t="s">
        <v>24</v>
      </c>
      <c r="E8" s="7" t="s">
        <v>40</v>
      </c>
      <c r="F8" s="7" t="s">
        <v>169</v>
      </c>
      <c r="G8" s="7" t="s">
        <v>170</v>
      </c>
      <c r="H8" s="7" t="s">
        <v>171</v>
      </c>
      <c r="I8" s="7" t="s">
        <v>152</v>
      </c>
      <c r="J8" s="7" t="s">
        <v>153</v>
      </c>
    </row>
    <row r="9" spans="1:10">
      <c r="A9" s="7" t="s">
        <v>168</v>
      </c>
      <c r="B9" s="7" t="s">
        <v>138</v>
      </c>
      <c r="C9" s="7" t="s">
        <v>24</v>
      </c>
      <c r="D9" s="7" t="s">
        <v>24</v>
      </c>
      <c r="E9" s="7" t="s">
        <v>40</v>
      </c>
      <c r="F9" s="7" t="s">
        <v>172</v>
      </c>
      <c r="G9" s="7" t="s">
        <v>173</v>
      </c>
      <c r="H9" s="7" t="s">
        <v>174</v>
      </c>
      <c r="I9" s="7" t="s">
        <v>152</v>
      </c>
      <c r="J9" s="7" t="s">
        <v>153</v>
      </c>
    </row>
    <row r="10" spans="1:10">
      <c r="A10" s="7" t="s">
        <v>168</v>
      </c>
      <c r="B10" s="7" t="s">
        <v>139</v>
      </c>
      <c r="C10" s="7" t="s">
        <v>24</v>
      </c>
      <c r="D10" s="7" t="s">
        <v>24</v>
      </c>
      <c r="E10" s="7" t="s">
        <v>40</v>
      </c>
      <c r="F10" s="7" t="s">
        <v>175</v>
      </c>
      <c r="G10" s="7" t="s">
        <v>176</v>
      </c>
      <c r="H10" s="7" t="s">
        <v>177</v>
      </c>
      <c r="I10" s="7" t="s">
        <v>152</v>
      </c>
      <c r="J10" s="7" t="s">
        <v>153</v>
      </c>
    </row>
    <row r="11" spans="1:10">
      <c r="A11" s="7" t="s">
        <v>178</v>
      </c>
      <c r="B11" s="7" t="s">
        <v>135</v>
      </c>
      <c r="C11" s="7" t="s">
        <v>33</v>
      </c>
      <c r="D11" s="7" t="s">
        <v>33</v>
      </c>
      <c r="E11" s="7" t="s">
        <v>161</v>
      </c>
      <c r="F11" s="7" t="s">
        <v>179</v>
      </c>
      <c r="G11" s="7" t="s">
        <v>179</v>
      </c>
      <c r="H11" s="7" t="s">
        <v>163</v>
      </c>
      <c r="I11" s="7" t="s">
        <v>164</v>
      </c>
      <c r="J11" s="7" t="s">
        <v>165</v>
      </c>
    </row>
    <row r="12" spans="1:10">
      <c r="A12" s="7" t="s">
        <v>178</v>
      </c>
      <c r="B12" s="7" t="s">
        <v>138</v>
      </c>
      <c r="C12" s="7" t="s">
        <v>33</v>
      </c>
      <c r="D12" s="7" t="s">
        <v>33</v>
      </c>
      <c r="E12" s="7" t="s">
        <v>161</v>
      </c>
      <c r="F12" s="7" t="s">
        <v>180</v>
      </c>
      <c r="G12" s="7" t="s">
        <v>180</v>
      </c>
      <c r="H12" s="7" t="s">
        <v>163</v>
      </c>
      <c r="I12" s="7" t="s">
        <v>164</v>
      </c>
      <c r="J12" s="7" t="s">
        <v>165</v>
      </c>
    </row>
    <row r="13" spans="1:10">
      <c r="A13" s="7" t="s">
        <v>178</v>
      </c>
      <c r="B13" s="7" t="s">
        <v>139</v>
      </c>
      <c r="C13" s="7" t="s">
        <v>27</v>
      </c>
      <c r="D13" s="7" t="s">
        <v>27</v>
      </c>
      <c r="E13" s="7" t="s">
        <v>161</v>
      </c>
      <c r="F13" s="7" t="s">
        <v>181</v>
      </c>
      <c r="G13" s="7" t="s">
        <v>181</v>
      </c>
      <c r="H13" s="7" t="s">
        <v>163</v>
      </c>
      <c r="I13" s="7" t="s">
        <v>164</v>
      </c>
      <c r="J13" s="7" t="s">
        <v>165</v>
      </c>
    </row>
    <row r="14" spans="1:10">
      <c r="A14" s="7" t="s">
        <v>182</v>
      </c>
      <c r="B14" s="7" t="s">
        <v>135</v>
      </c>
      <c r="C14" s="7" t="s">
        <v>29</v>
      </c>
      <c r="D14" s="7" t="s">
        <v>51</v>
      </c>
      <c r="E14" s="7" t="s">
        <v>161</v>
      </c>
      <c r="F14" s="7" t="s">
        <v>183</v>
      </c>
      <c r="G14" s="7" t="s">
        <v>184</v>
      </c>
      <c r="H14" s="7" t="s">
        <v>185</v>
      </c>
      <c r="I14" s="7" t="s">
        <v>186</v>
      </c>
      <c r="J14" s="7" t="s">
        <v>165</v>
      </c>
    </row>
    <row r="15" spans="1:10">
      <c r="A15" s="7" t="s">
        <v>182</v>
      </c>
      <c r="B15" s="7" t="s">
        <v>138</v>
      </c>
      <c r="C15" s="7" t="s">
        <v>29</v>
      </c>
      <c r="D15" s="7" t="s">
        <v>77</v>
      </c>
      <c r="E15" s="7" t="s">
        <v>20</v>
      </c>
      <c r="F15" s="7" t="s">
        <v>187</v>
      </c>
      <c r="G15" s="7" t="s">
        <v>188</v>
      </c>
      <c r="H15" s="7" t="s">
        <v>189</v>
      </c>
      <c r="I15" s="7" t="s">
        <v>186</v>
      </c>
      <c r="J15" s="7" t="s">
        <v>153</v>
      </c>
    </row>
    <row r="16" spans="1:10">
      <c r="A16" s="7" t="s">
        <v>182</v>
      </c>
      <c r="B16" s="7" t="s">
        <v>139</v>
      </c>
      <c r="C16" s="7" t="s">
        <v>75</v>
      </c>
      <c r="D16" s="7" t="s">
        <v>79</v>
      </c>
      <c r="E16" s="7" t="s">
        <v>20</v>
      </c>
      <c r="F16" s="7" t="s">
        <v>190</v>
      </c>
      <c r="G16" s="7" t="s">
        <v>191</v>
      </c>
      <c r="H16" s="7" t="s">
        <v>192</v>
      </c>
      <c r="I16" s="7" t="s">
        <v>186</v>
      </c>
      <c r="J16" s="7" t="s">
        <v>153</v>
      </c>
    </row>
    <row r="17" spans="1:10">
      <c r="A17" s="7" t="s">
        <v>193</v>
      </c>
      <c r="B17" s="7" t="s">
        <v>135</v>
      </c>
      <c r="C17" s="7" t="s">
        <v>27</v>
      </c>
      <c r="D17" s="7" t="s">
        <v>27</v>
      </c>
      <c r="E17" s="7" t="s">
        <v>161</v>
      </c>
      <c r="F17" s="7" t="s">
        <v>194</v>
      </c>
      <c r="G17" s="7" t="s">
        <v>194</v>
      </c>
      <c r="H17" s="7" t="s">
        <v>163</v>
      </c>
      <c r="I17" s="7" t="s">
        <v>164</v>
      </c>
      <c r="J17" s="7" t="s">
        <v>165</v>
      </c>
    </row>
    <row r="18" spans="1:10">
      <c r="A18" s="7" t="s">
        <v>193</v>
      </c>
      <c r="B18" s="7" t="s">
        <v>138</v>
      </c>
      <c r="C18" s="7" t="s">
        <v>27</v>
      </c>
      <c r="D18" s="7" t="s">
        <v>27</v>
      </c>
      <c r="E18" s="7" t="s">
        <v>161</v>
      </c>
      <c r="F18" s="7" t="s">
        <v>195</v>
      </c>
      <c r="G18" s="7" t="s">
        <v>195</v>
      </c>
      <c r="H18" s="7" t="s">
        <v>163</v>
      </c>
      <c r="I18" s="7" t="s">
        <v>164</v>
      </c>
      <c r="J18" s="7" t="s">
        <v>165</v>
      </c>
    </row>
    <row r="19" spans="1:10">
      <c r="A19" s="7" t="s">
        <v>193</v>
      </c>
      <c r="B19" s="7" t="s">
        <v>139</v>
      </c>
      <c r="C19" s="7" t="s">
        <v>31</v>
      </c>
      <c r="D19" s="7" t="s">
        <v>27</v>
      </c>
      <c r="E19" s="7" t="s">
        <v>81</v>
      </c>
      <c r="F19" s="7" t="s">
        <v>196</v>
      </c>
      <c r="G19" s="7" t="s">
        <v>197</v>
      </c>
      <c r="H19" s="7" t="s">
        <v>198</v>
      </c>
      <c r="I19" s="7" t="s">
        <v>186</v>
      </c>
      <c r="J19" s="7" t="s">
        <v>153</v>
      </c>
    </row>
    <row r="20" spans="1:10">
      <c r="A20" s="7" t="s">
        <v>199</v>
      </c>
      <c r="B20" s="7" t="s">
        <v>135</v>
      </c>
      <c r="C20" s="7" t="s">
        <v>33</v>
      </c>
      <c r="D20" s="7" t="s">
        <v>27</v>
      </c>
      <c r="E20" s="7" t="s">
        <v>20</v>
      </c>
      <c r="F20" s="7" t="s">
        <v>200</v>
      </c>
      <c r="G20" s="7" t="s">
        <v>201</v>
      </c>
      <c r="H20" s="7" t="s">
        <v>202</v>
      </c>
      <c r="I20" s="7" t="s">
        <v>152</v>
      </c>
      <c r="J20" s="7" t="s">
        <v>153</v>
      </c>
    </row>
    <row r="21" spans="1:10">
      <c r="A21" s="7" t="s">
        <v>199</v>
      </c>
      <c r="B21" s="7" t="s">
        <v>138</v>
      </c>
      <c r="C21" s="7" t="s">
        <v>27</v>
      </c>
      <c r="D21" s="7" t="s">
        <v>27</v>
      </c>
      <c r="E21" s="7" t="s">
        <v>20</v>
      </c>
      <c r="F21" s="7" t="s">
        <v>203</v>
      </c>
      <c r="G21" s="7" t="s">
        <v>204</v>
      </c>
      <c r="H21" s="7" t="s">
        <v>205</v>
      </c>
      <c r="I21" s="7" t="s">
        <v>152</v>
      </c>
      <c r="J21" s="7" t="s">
        <v>153</v>
      </c>
    </row>
    <row r="22" spans="1:10">
      <c r="A22" s="7" t="s">
        <v>199</v>
      </c>
      <c r="B22" s="7" t="s">
        <v>139</v>
      </c>
      <c r="C22" s="7" t="s">
        <v>19</v>
      </c>
      <c r="D22" s="7" t="s">
        <v>19</v>
      </c>
      <c r="E22" s="7" t="s">
        <v>161</v>
      </c>
      <c r="F22" s="7" t="s">
        <v>206</v>
      </c>
      <c r="G22" s="7" t="s">
        <v>206</v>
      </c>
      <c r="H22" s="7" t="s">
        <v>163</v>
      </c>
      <c r="I22" s="7" t="s">
        <v>164</v>
      </c>
      <c r="J22" s="7" t="s">
        <v>165</v>
      </c>
    </row>
    <row r="23" spans="1:10">
      <c r="A23" s="7" t="s">
        <v>207</v>
      </c>
      <c r="B23" s="7" t="s">
        <v>135</v>
      </c>
      <c r="C23" s="7" t="s">
        <v>24</v>
      </c>
      <c r="D23" s="7" t="s">
        <v>24</v>
      </c>
      <c r="E23" s="7" t="s">
        <v>161</v>
      </c>
      <c r="F23" s="7" t="s">
        <v>208</v>
      </c>
      <c r="G23" s="7" t="s">
        <v>208</v>
      </c>
      <c r="H23" s="7" t="s">
        <v>163</v>
      </c>
      <c r="I23" s="7" t="s">
        <v>164</v>
      </c>
      <c r="J23" s="7" t="s">
        <v>165</v>
      </c>
    </row>
    <row r="24" spans="1:10">
      <c r="A24" s="7" t="s">
        <v>207</v>
      </c>
      <c r="B24" s="7" t="s">
        <v>138</v>
      </c>
      <c r="C24" s="7" t="s">
        <v>24</v>
      </c>
      <c r="D24" s="7" t="s">
        <v>39</v>
      </c>
      <c r="E24" s="7" t="s">
        <v>161</v>
      </c>
      <c r="F24" s="7" t="s">
        <v>209</v>
      </c>
      <c r="G24" s="7" t="s">
        <v>210</v>
      </c>
      <c r="H24" s="7" t="s">
        <v>211</v>
      </c>
      <c r="I24" s="7" t="s">
        <v>152</v>
      </c>
      <c r="J24" s="7" t="s">
        <v>165</v>
      </c>
    </row>
    <row r="25" spans="1:10">
      <c r="A25" s="7" t="s">
        <v>207</v>
      </c>
      <c r="B25" s="7" t="s">
        <v>139</v>
      </c>
      <c r="C25" s="7" t="s">
        <v>27</v>
      </c>
      <c r="D25" s="7" t="s">
        <v>27</v>
      </c>
      <c r="E25" s="7" t="s">
        <v>35</v>
      </c>
      <c r="F25" s="7" t="s">
        <v>212</v>
      </c>
      <c r="G25" s="7" t="s">
        <v>213</v>
      </c>
      <c r="H25" s="7" t="s">
        <v>214</v>
      </c>
      <c r="I25" s="7" t="s">
        <v>152</v>
      </c>
      <c r="J25" s="7" t="s">
        <v>153</v>
      </c>
    </row>
    <row r="26" spans="1:10">
      <c r="A26" s="7" t="s">
        <v>215</v>
      </c>
      <c r="B26" s="7" t="s">
        <v>135</v>
      </c>
      <c r="C26" s="7" t="s">
        <v>85</v>
      </c>
      <c r="D26" s="7" t="s">
        <v>85</v>
      </c>
      <c r="E26" s="7" t="s">
        <v>161</v>
      </c>
      <c r="F26" s="7" t="s">
        <v>216</v>
      </c>
      <c r="G26" s="7" t="s">
        <v>216</v>
      </c>
      <c r="H26" s="7" t="s">
        <v>163</v>
      </c>
      <c r="I26" s="7" t="s">
        <v>164</v>
      </c>
      <c r="J26" s="7" t="s">
        <v>165</v>
      </c>
    </row>
    <row r="27" spans="1:10">
      <c r="A27" s="7" t="s">
        <v>215</v>
      </c>
      <c r="B27" s="7" t="s">
        <v>138</v>
      </c>
      <c r="C27" s="7" t="s">
        <v>31</v>
      </c>
      <c r="D27" s="7" t="s">
        <v>27</v>
      </c>
      <c r="E27" s="7" t="s">
        <v>161</v>
      </c>
      <c r="F27" s="7" t="s">
        <v>217</v>
      </c>
      <c r="G27" s="7" t="s">
        <v>218</v>
      </c>
      <c r="H27" s="7" t="s">
        <v>219</v>
      </c>
      <c r="I27" s="7" t="s">
        <v>186</v>
      </c>
      <c r="J27" s="7" t="s">
        <v>165</v>
      </c>
    </row>
    <row r="28" spans="1:10">
      <c r="A28" s="7" t="s">
        <v>215</v>
      </c>
      <c r="B28" s="7" t="s">
        <v>139</v>
      </c>
      <c r="C28" s="7" t="s">
        <v>48</v>
      </c>
      <c r="D28" s="7" t="s">
        <v>48</v>
      </c>
      <c r="E28" s="7" t="s">
        <v>161</v>
      </c>
      <c r="F28" s="7" t="s">
        <v>220</v>
      </c>
      <c r="G28" s="7" t="s">
        <v>220</v>
      </c>
      <c r="H28" s="7" t="s">
        <v>163</v>
      </c>
      <c r="I28" s="7" t="s">
        <v>164</v>
      </c>
      <c r="J28" s="7" t="s">
        <v>165</v>
      </c>
    </row>
    <row r="29" spans="1:10">
      <c r="A29" s="7" t="s">
        <v>221</v>
      </c>
      <c r="B29" s="7" t="s">
        <v>135</v>
      </c>
      <c r="C29" s="7" t="s">
        <v>33</v>
      </c>
      <c r="D29" s="7" t="s">
        <v>33</v>
      </c>
      <c r="E29" s="7" t="s">
        <v>161</v>
      </c>
      <c r="F29" s="7" t="s">
        <v>222</v>
      </c>
      <c r="G29" s="7" t="s">
        <v>222</v>
      </c>
      <c r="H29" s="7" t="s">
        <v>163</v>
      </c>
      <c r="I29" s="7" t="s">
        <v>164</v>
      </c>
      <c r="J29" s="7" t="s">
        <v>165</v>
      </c>
    </row>
    <row r="30" spans="1:10">
      <c r="A30" s="7" t="s">
        <v>221</v>
      </c>
      <c r="B30" s="7" t="s">
        <v>138</v>
      </c>
      <c r="C30" s="7" t="s">
        <v>33</v>
      </c>
      <c r="D30" s="7" t="s">
        <v>33</v>
      </c>
      <c r="E30" s="7" t="s">
        <v>40</v>
      </c>
      <c r="F30" s="7" t="s">
        <v>223</v>
      </c>
      <c r="G30" s="7" t="s">
        <v>224</v>
      </c>
      <c r="H30" s="7" t="s">
        <v>225</v>
      </c>
      <c r="I30" s="7" t="s">
        <v>152</v>
      </c>
      <c r="J30" s="7" t="s">
        <v>153</v>
      </c>
    </row>
    <row r="31" spans="1:10">
      <c r="A31" s="7" t="s">
        <v>221</v>
      </c>
      <c r="B31" s="7" t="s">
        <v>139</v>
      </c>
      <c r="C31" s="7" t="s">
        <v>33</v>
      </c>
      <c r="D31" s="7" t="s">
        <v>33</v>
      </c>
      <c r="E31" s="7" t="s">
        <v>161</v>
      </c>
      <c r="F31" s="7" t="s">
        <v>226</v>
      </c>
      <c r="G31" s="7" t="s">
        <v>226</v>
      </c>
      <c r="H31" s="7" t="s">
        <v>163</v>
      </c>
      <c r="I31" s="7" t="s">
        <v>164</v>
      </c>
      <c r="J31" s="7" t="s">
        <v>165</v>
      </c>
    </row>
    <row r="32" spans="1:10">
      <c r="A32" s="7" t="s">
        <v>227</v>
      </c>
      <c r="B32" s="7" t="s">
        <v>135</v>
      </c>
      <c r="C32" s="7" t="s">
        <v>24</v>
      </c>
      <c r="D32" s="7" t="s">
        <v>19</v>
      </c>
      <c r="E32" s="7" t="s">
        <v>35</v>
      </c>
      <c r="F32" s="7" t="s">
        <v>228</v>
      </c>
      <c r="G32" s="7" t="s">
        <v>229</v>
      </c>
      <c r="H32" s="7" t="s">
        <v>230</v>
      </c>
      <c r="I32" s="7" t="s">
        <v>152</v>
      </c>
      <c r="J32" s="7" t="s">
        <v>153</v>
      </c>
    </row>
    <row r="33" spans="1:10">
      <c r="A33" s="7" t="s">
        <v>227</v>
      </c>
      <c r="B33" s="7" t="s">
        <v>138</v>
      </c>
      <c r="C33" s="7" t="s">
        <v>24</v>
      </c>
      <c r="D33" s="7" t="s">
        <v>19</v>
      </c>
      <c r="E33" s="7" t="s">
        <v>20</v>
      </c>
      <c r="F33" s="7" t="s">
        <v>231</v>
      </c>
      <c r="G33" s="7" t="s">
        <v>232</v>
      </c>
      <c r="H33" s="7" t="s">
        <v>233</v>
      </c>
      <c r="I33" s="7" t="s">
        <v>152</v>
      </c>
      <c r="J33" s="7" t="s">
        <v>153</v>
      </c>
    </row>
    <row r="34" spans="1:10">
      <c r="A34" s="7" t="s">
        <v>227</v>
      </c>
      <c r="B34" s="7" t="s">
        <v>139</v>
      </c>
      <c r="C34" s="7" t="s">
        <v>24</v>
      </c>
      <c r="D34" s="7" t="s">
        <v>24</v>
      </c>
      <c r="E34" s="7" t="s">
        <v>35</v>
      </c>
      <c r="F34" s="7" t="s">
        <v>234</v>
      </c>
      <c r="G34" s="7" t="s">
        <v>235</v>
      </c>
      <c r="H34" s="7" t="s">
        <v>236</v>
      </c>
      <c r="I34" s="7" t="s">
        <v>152</v>
      </c>
      <c r="J34" s="7" t="s">
        <v>153</v>
      </c>
    </row>
    <row r="35" spans="1:10">
      <c r="A35" s="7" t="s">
        <v>237</v>
      </c>
      <c r="B35" s="7" t="s">
        <v>135</v>
      </c>
      <c r="C35" s="7" t="s">
        <v>37</v>
      </c>
      <c r="D35" s="7" t="s">
        <v>51</v>
      </c>
      <c r="E35" s="7" t="s">
        <v>161</v>
      </c>
      <c r="F35" s="7" t="s">
        <v>238</v>
      </c>
      <c r="G35" s="7" t="s">
        <v>239</v>
      </c>
      <c r="H35" s="7" t="s">
        <v>240</v>
      </c>
      <c r="I35" s="7" t="s">
        <v>186</v>
      </c>
      <c r="J35" s="7" t="s">
        <v>165</v>
      </c>
    </row>
    <row r="36" spans="1:10">
      <c r="A36" s="7" t="s">
        <v>237</v>
      </c>
      <c r="B36" s="7" t="s">
        <v>138</v>
      </c>
      <c r="C36" s="7" t="s">
        <v>37</v>
      </c>
      <c r="D36" s="7" t="s">
        <v>51</v>
      </c>
      <c r="E36" s="7" t="s">
        <v>161</v>
      </c>
      <c r="F36" s="7" t="s">
        <v>241</v>
      </c>
      <c r="G36" s="7" t="s">
        <v>242</v>
      </c>
      <c r="H36" s="7" t="s">
        <v>243</v>
      </c>
      <c r="I36" s="7" t="s">
        <v>186</v>
      </c>
      <c r="J36" s="7" t="s">
        <v>165</v>
      </c>
    </row>
    <row r="37" spans="1:10">
      <c r="A37" s="7" t="s">
        <v>237</v>
      </c>
      <c r="B37" s="7" t="s">
        <v>139</v>
      </c>
      <c r="C37" s="7" t="s">
        <v>37</v>
      </c>
      <c r="D37" s="7" t="s">
        <v>45</v>
      </c>
      <c r="E37" s="7" t="s">
        <v>161</v>
      </c>
      <c r="F37" s="7" t="s">
        <v>244</v>
      </c>
      <c r="G37" s="7" t="s">
        <v>245</v>
      </c>
      <c r="H37" s="7" t="s">
        <v>246</v>
      </c>
      <c r="I37" s="7" t="s">
        <v>152</v>
      </c>
      <c r="J37" s="7" t="s">
        <v>165</v>
      </c>
    </row>
    <row r="38" spans="1:10">
      <c r="A38" s="7" t="s">
        <v>247</v>
      </c>
      <c r="B38" s="7" t="s">
        <v>135</v>
      </c>
      <c r="C38" s="7" t="s">
        <v>48</v>
      </c>
      <c r="D38" s="7" t="s">
        <v>88</v>
      </c>
      <c r="E38" s="7" t="s">
        <v>89</v>
      </c>
      <c r="F38" s="7" t="s">
        <v>248</v>
      </c>
      <c r="G38" s="7" t="s">
        <v>249</v>
      </c>
      <c r="H38" s="7" t="s">
        <v>250</v>
      </c>
      <c r="I38" s="7" t="s">
        <v>152</v>
      </c>
      <c r="J38" s="7" t="s">
        <v>153</v>
      </c>
    </row>
    <row r="39" spans="1:10">
      <c r="A39" s="7" t="s">
        <v>247</v>
      </c>
      <c r="B39" s="7" t="s">
        <v>138</v>
      </c>
      <c r="C39" s="7" t="s">
        <v>48</v>
      </c>
      <c r="D39" s="7" t="s">
        <v>39</v>
      </c>
      <c r="E39" s="7" t="s">
        <v>40</v>
      </c>
      <c r="F39" s="7" t="s">
        <v>251</v>
      </c>
      <c r="G39" s="7" t="s">
        <v>252</v>
      </c>
      <c r="H39" s="7" t="s">
        <v>253</v>
      </c>
      <c r="I39" s="7" t="s">
        <v>152</v>
      </c>
      <c r="J39" s="7" t="s">
        <v>153</v>
      </c>
    </row>
    <row r="40" spans="1:10">
      <c r="A40" s="7" t="s">
        <v>247</v>
      </c>
      <c r="B40" s="7" t="s">
        <v>139</v>
      </c>
      <c r="C40" s="7" t="s">
        <v>91</v>
      </c>
      <c r="D40" s="7" t="s">
        <v>93</v>
      </c>
      <c r="E40" s="7" t="s">
        <v>89</v>
      </c>
      <c r="F40" s="7" t="s">
        <v>254</v>
      </c>
      <c r="G40" s="7" t="s">
        <v>255</v>
      </c>
      <c r="H40" s="7" t="s">
        <v>256</v>
      </c>
      <c r="I40" s="7" t="s">
        <v>152</v>
      </c>
      <c r="J40" s="7" t="s">
        <v>153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5"/>
  <sheetViews>
    <sheetView showGridLines="0" workbookViewId="0"/>
  </sheetViews>
  <sheetFormatPr defaultRowHeight="13.8"/>
  <cols>
    <col min="1" max="8" width="18" customWidth="1"/>
  </cols>
  <sheetData>
    <row r="1" spans="1:8" ht="30" customHeight="1">
      <c r="A1" s="1" t="s">
        <v>3</v>
      </c>
      <c r="B1" s="2" t="s">
        <v>4</v>
      </c>
      <c r="C1" s="2" t="s">
        <v>7</v>
      </c>
      <c r="D1" s="2" t="s">
        <v>8</v>
      </c>
      <c r="E1" s="2" t="s">
        <v>9</v>
      </c>
      <c r="F1" s="10" t="s">
        <v>10</v>
      </c>
      <c r="G1" s="10" t="s">
        <v>55</v>
      </c>
      <c r="H1" s="3" t="s">
        <v>257</v>
      </c>
    </row>
    <row r="2" spans="1:8">
      <c r="A2" s="5" t="s">
        <v>148</v>
      </c>
      <c r="B2" s="5" t="s">
        <v>221</v>
      </c>
      <c r="C2" s="5" t="s">
        <v>41</v>
      </c>
      <c r="D2" s="5" t="s">
        <v>19</v>
      </c>
      <c r="E2" s="5" t="s">
        <v>25</v>
      </c>
      <c r="F2" s="5" t="s">
        <v>258</v>
      </c>
      <c r="G2" s="5" t="s">
        <v>259</v>
      </c>
      <c r="H2" s="5" t="s">
        <v>260</v>
      </c>
    </row>
    <row r="3" spans="1:8">
      <c r="A3" s="7" t="s">
        <v>148</v>
      </c>
      <c r="B3" s="7" t="s">
        <v>221</v>
      </c>
      <c r="C3" s="7" t="s">
        <v>18</v>
      </c>
      <c r="D3" s="7" t="s">
        <v>19</v>
      </c>
      <c r="E3" s="7" t="s">
        <v>20</v>
      </c>
      <c r="F3" s="7" t="s">
        <v>261</v>
      </c>
      <c r="G3" s="7" t="s">
        <v>262</v>
      </c>
      <c r="H3" s="7" t="s">
        <v>260</v>
      </c>
    </row>
    <row r="4" spans="1:8">
      <c r="A4" s="7" t="s">
        <v>160</v>
      </c>
      <c r="B4" s="7" t="s">
        <v>221</v>
      </c>
      <c r="C4" s="7" t="s">
        <v>23</v>
      </c>
      <c r="D4" s="7" t="s">
        <v>24</v>
      </c>
      <c r="E4" s="7" t="s">
        <v>25</v>
      </c>
      <c r="F4" s="7" t="s">
        <v>263</v>
      </c>
      <c r="G4" s="7" t="s">
        <v>264</v>
      </c>
      <c r="H4" s="7" t="s">
        <v>260</v>
      </c>
    </row>
    <row r="5" spans="1:8">
      <c r="A5" s="7" t="s">
        <v>168</v>
      </c>
      <c r="B5" s="7" t="s">
        <v>221</v>
      </c>
      <c r="C5" s="7" t="s">
        <v>23</v>
      </c>
      <c r="D5" s="7" t="s">
        <v>24</v>
      </c>
      <c r="E5" s="7" t="s">
        <v>25</v>
      </c>
      <c r="F5" s="7" t="s">
        <v>265</v>
      </c>
      <c r="G5" s="7" t="s">
        <v>266</v>
      </c>
      <c r="H5" s="7" t="s">
        <v>260</v>
      </c>
    </row>
    <row r="6" spans="1:8">
      <c r="A6" s="7" t="s">
        <v>168</v>
      </c>
      <c r="B6" s="7" t="s">
        <v>221</v>
      </c>
      <c r="C6" s="7" t="s">
        <v>73</v>
      </c>
      <c r="D6" s="7" t="s">
        <v>24</v>
      </c>
      <c r="E6" s="7" t="s">
        <v>40</v>
      </c>
      <c r="F6" s="7" t="s">
        <v>267</v>
      </c>
      <c r="G6" s="7" t="s">
        <v>268</v>
      </c>
      <c r="H6" s="7" t="s">
        <v>260</v>
      </c>
    </row>
    <row r="7" spans="1:8">
      <c r="A7" s="7" t="s">
        <v>178</v>
      </c>
      <c r="B7" s="7" t="s">
        <v>221</v>
      </c>
      <c r="C7" s="7" t="s">
        <v>26</v>
      </c>
      <c r="D7" s="7" t="s">
        <v>27</v>
      </c>
      <c r="E7" s="7" t="s">
        <v>25</v>
      </c>
      <c r="F7" s="7" t="s">
        <v>269</v>
      </c>
      <c r="G7" s="7" t="s">
        <v>270</v>
      </c>
      <c r="H7" s="7" t="s">
        <v>260</v>
      </c>
    </row>
    <row r="8" spans="1:8">
      <c r="A8" s="7" t="s">
        <v>178</v>
      </c>
      <c r="B8" s="7" t="s">
        <v>221</v>
      </c>
      <c r="C8" s="7" t="s">
        <v>32</v>
      </c>
      <c r="D8" s="7" t="s">
        <v>33</v>
      </c>
      <c r="E8" s="7" t="s">
        <v>25</v>
      </c>
      <c r="F8" s="7" t="s">
        <v>271</v>
      </c>
      <c r="G8" s="7" t="s">
        <v>272</v>
      </c>
      <c r="H8" s="7" t="s">
        <v>260</v>
      </c>
    </row>
    <row r="9" spans="1:8">
      <c r="A9" s="7" t="s">
        <v>182</v>
      </c>
      <c r="B9" s="7" t="s">
        <v>221</v>
      </c>
      <c r="C9" s="7" t="s">
        <v>28</v>
      </c>
      <c r="D9" s="7" t="s">
        <v>29</v>
      </c>
      <c r="E9" s="7" t="s">
        <v>25</v>
      </c>
      <c r="F9" s="7" t="s">
        <v>273</v>
      </c>
      <c r="G9" s="7" t="s">
        <v>274</v>
      </c>
      <c r="H9" s="7" t="s">
        <v>260</v>
      </c>
    </row>
    <row r="10" spans="1:8">
      <c r="A10" s="7" t="s">
        <v>182</v>
      </c>
      <c r="B10" s="7" t="s">
        <v>221</v>
      </c>
      <c r="C10" s="7" t="s">
        <v>74</v>
      </c>
      <c r="D10" s="7" t="s">
        <v>75</v>
      </c>
      <c r="E10" s="7" t="s">
        <v>25</v>
      </c>
      <c r="F10" s="7" t="s">
        <v>275</v>
      </c>
      <c r="G10" s="7" t="s">
        <v>276</v>
      </c>
      <c r="H10" s="7" t="s">
        <v>260</v>
      </c>
    </row>
    <row r="11" spans="1:8">
      <c r="A11" s="7" t="s">
        <v>182</v>
      </c>
      <c r="B11" s="7" t="s">
        <v>221</v>
      </c>
      <c r="C11" s="7" t="s">
        <v>50</v>
      </c>
      <c r="D11" s="7" t="s">
        <v>51</v>
      </c>
      <c r="E11" s="7" t="s">
        <v>25</v>
      </c>
      <c r="F11" s="7" t="s">
        <v>277</v>
      </c>
      <c r="G11" s="7" t="s">
        <v>278</v>
      </c>
      <c r="H11" s="7" t="s">
        <v>260</v>
      </c>
    </row>
    <row r="12" spans="1:8">
      <c r="A12" s="7" t="s">
        <v>182</v>
      </c>
      <c r="B12" s="7" t="s">
        <v>221</v>
      </c>
      <c r="C12" s="7" t="s">
        <v>76</v>
      </c>
      <c r="D12" s="7" t="s">
        <v>77</v>
      </c>
      <c r="E12" s="7" t="s">
        <v>20</v>
      </c>
      <c r="F12" s="7" t="s">
        <v>279</v>
      </c>
      <c r="G12" s="7" t="s">
        <v>280</v>
      </c>
      <c r="H12" s="7" t="s">
        <v>260</v>
      </c>
    </row>
    <row r="13" spans="1:8">
      <c r="A13" s="7" t="s">
        <v>182</v>
      </c>
      <c r="B13" s="7" t="s">
        <v>221</v>
      </c>
      <c r="C13" s="7" t="s">
        <v>78</v>
      </c>
      <c r="D13" s="7" t="s">
        <v>79</v>
      </c>
      <c r="E13" s="7" t="s">
        <v>20</v>
      </c>
      <c r="F13" s="7" t="s">
        <v>281</v>
      </c>
      <c r="G13" s="7" t="s">
        <v>282</v>
      </c>
      <c r="H13" s="7" t="s">
        <v>260</v>
      </c>
    </row>
    <row r="14" spans="1:8">
      <c r="A14" s="7" t="s">
        <v>193</v>
      </c>
      <c r="B14" s="7" t="s">
        <v>221</v>
      </c>
      <c r="C14" s="7" t="s">
        <v>26</v>
      </c>
      <c r="D14" s="7" t="s">
        <v>27</v>
      </c>
      <c r="E14" s="7" t="s">
        <v>25</v>
      </c>
      <c r="F14" s="7" t="s">
        <v>283</v>
      </c>
      <c r="G14" s="7" t="s">
        <v>284</v>
      </c>
      <c r="H14" s="7" t="s">
        <v>260</v>
      </c>
    </row>
    <row r="15" spans="1:8">
      <c r="A15" s="7" t="s">
        <v>193</v>
      </c>
      <c r="B15" s="7" t="s">
        <v>221</v>
      </c>
      <c r="C15" s="7" t="s">
        <v>30</v>
      </c>
      <c r="D15" s="7" t="s">
        <v>31</v>
      </c>
      <c r="E15" s="7" t="s">
        <v>25</v>
      </c>
      <c r="F15" s="7" t="s">
        <v>285</v>
      </c>
      <c r="G15" s="7" t="s">
        <v>286</v>
      </c>
      <c r="H15" s="7" t="s">
        <v>260</v>
      </c>
    </row>
    <row r="16" spans="1:8">
      <c r="A16" s="7" t="s">
        <v>193</v>
      </c>
      <c r="B16" s="7" t="s">
        <v>221</v>
      </c>
      <c r="C16" s="7" t="s">
        <v>80</v>
      </c>
      <c r="D16" s="7" t="s">
        <v>27</v>
      </c>
      <c r="E16" s="7" t="s">
        <v>81</v>
      </c>
      <c r="F16" s="7" t="s">
        <v>287</v>
      </c>
      <c r="G16" s="7" t="s">
        <v>288</v>
      </c>
      <c r="H16" s="7" t="s">
        <v>260</v>
      </c>
    </row>
    <row r="17" spans="1:8">
      <c r="A17" s="7" t="s">
        <v>199</v>
      </c>
      <c r="B17" s="7" t="s">
        <v>221</v>
      </c>
      <c r="C17" s="7" t="s">
        <v>26</v>
      </c>
      <c r="D17" s="7" t="s">
        <v>27</v>
      </c>
      <c r="E17" s="7" t="s">
        <v>25</v>
      </c>
      <c r="F17" s="7" t="s">
        <v>289</v>
      </c>
      <c r="G17" s="7" t="s">
        <v>290</v>
      </c>
      <c r="H17" s="7" t="s">
        <v>260</v>
      </c>
    </row>
    <row r="18" spans="1:8">
      <c r="A18" s="7" t="s">
        <v>199</v>
      </c>
      <c r="B18" s="7" t="s">
        <v>221</v>
      </c>
      <c r="C18" s="7" t="s">
        <v>32</v>
      </c>
      <c r="D18" s="7" t="s">
        <v>33</v>
      </c>
      <c r="E18" s="7" t="s">
        <v>25</v>
      </c>
      <c r="F18" s="7" t="s">
        <v>291</v>
      </c>
      <c r="G18" s="7" t="s">
        <v>292</v>
      </c>
      <c r="H18" s="7" t="s">
        <v>260</v>
      </c>
    </row>
    <row r="19" spans="1:8">
      <c r="A19" s="7" t="s">
        <v>199</v>
      </c>
      <c r="B19" s="7" t="s">
        <v>221</v>
      </c>
      <c r="C19" s="7" t="s">
        <v>41</v>
      </c>
      <c r="D19" s="7" t="s">
        <v>19</v>
      </c>
      <c r="E19" s="7" t="s">
        <v>25</v>
      </c>
      <c r="F19" s="7" t="s">
        <v>293</v>
      </c>
      <c r="G19" s="7" t="s">
        <v>294</v>
      </c>
      <c r="H19" s="7" t="s">
        <v>260</v>
      </c>
    </row>
    <row r="20" spans="1:8">
      <c r="A20" s="7" t="s">
        <v>199</v>
      </c>
      <c r="B20" s="7" t="s">
        <v>221</v>
      </c>
      <c r="C20" s="7" t="s">
        <v>46</v>
      </c>
      <c r="D20" s="7" t="s">
        <v>27</v>
      </c>
      <c r="E20" s="7" t="s">
        <v>20</v>
      </c>
      <c r="F20" s="7" t="s">
        <v>295</v>
      </c>
      <c r="G20" s="7" t="s">
        <v>296</v>
      </c>
      <c r="H20" s="7" t="s">
        <v>260</v>
      </c>
    </row>
    <row r="21" spans="1:8">
      <c r="A21" s="7" t="s">
        <v>207</v>
      </c>
      <c r="B21" s="7" t="s">
        <v>221</v>
      </c>
      <c r="C21" s="7" t="s">
        <v>26</v>
      </c>
      <c r="D21" s="7" t="s">
        <v>27</v>
      </c>
      <c r="E21" s="7" t="s">
        <v>25</v>
      </c>
      <c r="F21" s="7" t="s">
        <v>297</v>
      </c>
      <c r="G21" s="7" t="s">
        <v>298</v>
      </c>
      <c r="H21" s="7" t="s">
        <v>260</v>
      </c>
    </row>
    <row r="22" spans="1:8">
      <c r="A22" s="7" t="s">
        <v>207</v>
      </c>
      <c r="B22" s="7" t="s">
        <v>221</v>
      </c>
      <c r="C22" s="7" t="s">
        <v>23</v>
      </c>
      <c r="D22" s="7" t="s">
        <v>24</v>
      </c>
      <c r="E22" s="7" t="s">
        <v>25</v>
      </c>
      <c r="F22" s="7" t="s">
        <v>299</v>
      </c>
      <c r="G22" s="7" t="s">
        <v>300</v>
      </c>
      <c r="H22" s="7" t="s">
        <v>260</v>
      </c>
    </row>
    <row r="23" spans="1:8">
      <c r="A23" s="7" t="s">
        <v>207</v>
      </c>
      <c r="B23" s="7" t="s">
        <v>221</v>
      </c>
      <c r="C23" s="7" t="s">
        <v>83</v>
      </c>
      <c r="D23" s="7" t="s">
        <v>39</v>
      </c>
      <c r="E23" s="7" t="s">
        <v>25</v>
      </c>
      <c r="F23" s="7" t="s">
        <v>301</v>
      </c>
      <c r="G23" s="7" t="s">
        <v>302</v>
      </c>
      <c r="H23" s="7" t="s">
        <v>260</v>
      </c>
    </row>
    <row r="24" spans="1:8">
      <c r="A24" s="7" t="s">
        <v>207</v>
      </c>
      <c r="B24" s="7" t="s">
        <v>221</v>
      </c>
      <c r="C24" s="7" t="s">
        <v>82</v>
      </c>
      <c r="D24" s="7" t="s">
        <v>27</v>
      </c>
      <c r="E24" s="7" t="s">
        <v>35</v>
      </c>
      <c r="F24" s="7" t="s">
        <v>303</v>
      </c>
      <c r="G24" s="7" t="s">
        <v>304</v>
      </c>
      <c r="H24" s="7" t="s">
        <v>260</v>
      </c>
    </row>
    <row r="25" spans="1:8">
      <c r="A25" s="7" t="s">
        <v>215</v>
      </c>
      <c r="B25" s="7" t="s">
        <v>221</v>
      </c>
      <c r="C25" s="7" t="s">
        <v>26</v>
      </c>
      <c r="D25" s="7" t="s">
        <v>27</v>
      </c>
      <c r="E25" s="7" t="s">
        <v>25</v>
      </c>
      <c r="F25" s="7" t="s">
        <v>305</v>
      </c>
      <c r="G25" s="7" t="s">
        <v>306</v>
      </c>
      <c r="H25" s="7" t="s">
        <v>260</v>
      </c>
    </row>
    <row r="26" spans="1:8">
      <c r="A26" s="7" t="s">
        <v>215</v>
      </c>
      <c r="B26" s="7" t="s">
        <v>221</v>
      </c>
      <c r="C26" s="7" t="s">
        <v>47</v>
      </c>
      <c r="D26" s="7" t="s">
        <v>48</v>
      </c>
      <c r="E26" s="7" t="s">
        <v>25</v>
      </c>
      <c r="F26" s="7" t="s">
        <v>307</v>
      </c>
      <c r="G26" s="7" t="s">
        <v>308</v>
      </c>
      <c r="H26" s="7" t="s">
        <v>260</v>
      </c>
    </row>
    <row r="27" spans="1:8">
      <c r="A27" s="7" t="s">
        <v>215</v>
      </c>
      <c r="B27" s="7" t="s">
        <v>221</v>
      </c>
      <c r="C27" s="7" t="s">
        <v>30</v>
      </c>
      <c r="D27" s="7" t="s">
        <v>31</v>
      </c>
      <c r="E27" s="7" t="s">
        <v>25</v>
      </c>
      <c r="F27" s="7" t="s">
        <v>309</v>
      </c>
      <c r="G27" s="7" t="s">
        <v>310</v>
      </c>
      <c r="H27" s="7" t="s">
        <v>260</v>
      </c>
    </row>
    <row r="28" spans="1:8">
      <c r="A28" s="7" t="s">
        <v>215</v>
      </c>
      <c r="B28" s="7" t="s">
        <v>221</v>
      </c>
      <c r="C28" s="7" t="s">
        <v>84</v>
      </c>
      <c r="D28" s="7" t="s">
        <v>85</v>
      </c>
      <c r="E28" s="7" t="s">
        <v>25</v>
      </c>
      <c r="F28" s="7" t="s">
        <v>311</v>
      </c>
      <c r="G28" s="7" t="s">
        <v>312</v>
      </c>
      <c r="H28" s="7" t="s">
        <v>260</v>
      </c>
    </row>
    <row r="29" spans="1:8">
      <c r="A29" s="7" t="s">
        <v>221</v>
      </c>
      <c r="B29" s="7" t="s">
        <v>221</v>
      </c>
      <c r="C29" s="7" t="s">
        <v>32</v>
      </c>
      <c r="D29" s="7" t="s">
        <v>33</v>
      </c>
      <c r="E29" s="7" t="s">
        <v>25</v>
      </c>
      <c r="F29" s="7" t="s">
        <v>313</v>
      </c>
      <c r="G29" s="7" t="s">
        <v>314</v>
      </c>
      <c r="H29" s="7" t="s">
        <v>260</v>
      </c>
    </row>
    <row r="30" spans="1:8">
      <c r="A30" s="7" t="s">
        <v>221</v>
      </c>
      <c r="B30" s="7" t="s">
        <v>221</v>
      </c>
      <c r="C30" s="7" t="s">
        <v>49</v>
      </c>
      <c r="D30" s="7" t="s">
        <v>33</v>
      </c>
      <c r="E30" s="7" t="s">
        <v>40</v>
      </c>
      <c r="F30" s="7" t="s">
        <v>315</v>
      </c>
      <c r="G30" s="7" t="s">
        <v>316</v>
      </c>
      <c r="H30" s="7" t="s">
        <v>260</v>
      </c>
    </row>
    <row r="31" spans="1:8">
      <c r="A31" s="7" t="s">
        <v>227</v>
      </c>
      <c r="B31" s="7" t="s">
        <v>221</v>
      </c>
      <c r="C31" s="7" t="s">
        <v>23</v>
      </c>
      <c r="D31" s="7" t="s">
        <v>24</v>
      </c>
      <c r="E31" s="7" t="s">
        <v>25</v>
      </c>
      <c r="F31" s="7" t="s">
        <v>317</v>
      </c>
      <c r="G31" s="7" t="s">
        <v>318</v>
      </c>
      <c r="H31" s="7" t="s">
        <v>260</v>
      </c>
    </row>
    <row r="32" spans="1:8">
      <c r="A32" s="7" t="s">
        <v>227</v>
      </c>
      <c r="B32" s="7" t="s">
        <v>221</v>
      </c>
      <c r="C32" s="7" t="s">
        <v>86</v>
      </c>
      <c r="D32" s="7" t="s">
        <v>24</v>
      </c>
      <c r="E32" s="7" t="s">
        <v>35</v>
      </c>
      <c r="F32" s="7" t="s">
        <v>319</v>
      </c>
      <c r="G32" s="7" t="s">
        <v>320</v>
      </c>
      <c r="H32" s="7" t="s">
        <v>260</v>
      </c>
    </row>
    <row r="33" spans="1:8">
      <c r="A33" s="7" t="s">
        <v>227</v>
      </c>
      <c r="B33" s="7" t="s">
        <v>221</v>
      </c>
      <c r="C33" s="7" t="s">
        <v>34</v>
      </c>
      <c r="D33" s="7" t="s">
        <v>19</v>
      </c>
      <c r="E33" s="7" t="s">
        <v>35</v>
      </c>
      <c r="F33" s="7" t="s">
        <v>321</v>
      </c>
      <c r="G33" s="7" t="s">
        <v>322</v>
      </c>
      <c r="H33" s="7" t="s">
        <v>260</v>
      </c>
    </row>
    <row r="34" spans="1:8">
      <c r="A34" s="7" t="s">
        <v>227</v>
      </c>
      <c r="B34" s="7" t="s">
        <v>221</v>
      </c>
      <c r="C34" s="7" t="s">
        <v>18</v>
      </c>
      <c r="D34" s="7" t="s">
        <v>19</v>
      </c>
      <c r="E34" s="7" t="s">
        <v>20</v>
      </c>
      <c r="F34" s="7" t="s">
        <v>323</v>
      </c>
      <c r="G34" s="7" t="s">
        <v>324</v>
      </c>
      <c r="H34" s="7" t="s">
        <v>260</v>
      </c>
    </row>
    <row r="35" spans="1:8">
      <c r="A35" s="7" t="s">
        <v>237</v>
      </c>
      <c r="B35" s="7" t="s">
        <v>221</v>
      </c>
      <c r="C35" s="7" t="s">
        <v>44</v>
      </c>
      <c r="D35" s="7" t="s">
        <v>45</v>
      </c>
      <c r="E35" s="7" t="s">
        <v>25</v>
      </c>
      <c r="F35" s="7" t="s">
        <v>325</v>
      </c>
      <c r="G35" s="7" t="s">
        <v>326</v>
      </c>
      <c r="H35" s="7" t="s">
        <v>260</v>
      </c>
    </row>
    <row r="36" spans="1:8">
      <c r="A36" s="7" t="s">
        <v>237</v>
      </c>
      <c r="B36" s="7" t="s">
        <v>221</v>
      </c>
      <c r="C36" s="7" t="s">
        <v>50</v>
      </c>
      <c r="D36" s="7" t="s">
        <v>51</v>
      </c>
      <c r="E36" s="7" t="s">
        <v>25</v>
      </c>
      <c r="F36" s="7" t="s">
        <v>327</v>
      </c>
      <c r="G36" s="7" t="s">
        <v>328</v>
      </c>
      <c r="H36" s="7" t="s">
        <v>260</v>
      </c>
    </row>
    <row r="37" spans="1:8">
      <c r="A37" s="7" t="s">
        <v>237</v>
      </c>
      <c r="B37" s="7" t="s">
        <v>221</v>
      </c>
      <c r="C37" s="7" t="s">
        <v>36</v>
      </c>
      <c r="D37" s="7" t="s">
        <v>37</v>
      </c>
      <c r="E37" s="7" t="s">
        <v>25</v>
      </c>
      <c r="F37" s="7" t="s">
        <v>329</v>
      </c>
      <c r="G37" s="7" t="s">
        <v>330</v>
      </c>
      <c r="H37" s="7" t="s">
        <v>260</v>
      </c>
    </row>
    <row r="38" spans="1:8">
      <c r="A38" s="7" t="s">
        <v>247</v>
      </c>
      <c r="B38" s="7" t="s">
        <v>221</v>
      </c>
      <c r="C38" s="7" t="s">
        <v>47</v>
      </c>
      <c r="D38" s="7" t="s">
        <v>48</v>
      </c>
      <c r="E38" s="7" t="s">
        <v>25</v>
      </c>
      <c r="F38" s="7" t="s">
        <v>331</v>
      </c>
      <c r="G38" s="7" t="s">
        <v>332</v>
      </c>
      <c r="H38" s="7" t="s">
        <v>260</v>
      </c>
    </row>
    <row r="39" spans="1:8">
      <c r="A39" s="7" t="s">
        <v>247</v>
      </c>
      <c r="B39" s="7" t="s">
        <v>221</v>
      </c>
      <c r="C39" s="7" t="s">
        <v>90</v>
      </c>
      <c r="D39" s="7" t="s">
        <v>91</v>
      </c>
      <c r="E39" s="7" t="s">
        <v>25</v>
      </c>
      <c r="F39" s="7" t="s">
        <v>333</v>
      </c>
      <c r="G39" s="7" t="s">
        <v>334</v>
      </c>
      <c r="H39" s="7" t="s">
        <v>260</v>
      </c>
    </row>
    <row r="40" spans="1:8">
      <c r="A40" s="7" t="s">
        <v>247</v>
      </c>
      <c r="B40" s="7" t="s">
        <v>221</v>
      </c>
      <c r="C40" s="7" t="s">
        <v>38</v>
      </c>
      <c r="D40" s="7" t="s">
        <v>39</v>
      </c>
      <c r="E40" s="7" t="s">
        <v>40</v>
      </c>
      <c r="F40" s="7" t="s">
        <v>335</v>
      </c>
      <c r="G40" s="7" t="s">
        <v>336</v>
      </c>
      <c r="H40" s="7" t="s">
        <v>260</v>
      </c>
    </row>
    <row r="41" spans="1:8">
      <c r="A41" s="7" t="s">
        <v>247</v>
      </c>
      <c r="B41" s="7" t="s">
        <v>221</v>
      </c>
      <c r="C41" s="7" t="s">
        <v>92</v>
      </c>
      <c r="D41" s="7" t="s">
        <v>93</v>
      </c>
      <c r="E41" s="7" t="s">
        <v>89</v>
      </c>
      <c r="F41" s="7" t="s">
        <v>337</v>
      </c>
      <c r="G41" s="7" t="s">
        <v>338</v>
      </c>
      <c r="H41" s="7" t="s">
        <v>260</v>
      </c>
    </row>
    <row r="42" spans="1:8">
      <c r="A42" s="7" t="s">
        <v>247</v>
      </c>
      <c r="B42" s="7" t="s">
        <v>221</v>
      </c>
      <c r="C42" s="7" t="s">
        <v>87</v>
      </c>
      <c r="D42" s="7" t="s">
        <v>88</v>
      </c>
      <c r="E42" s="7" t="s">
        <v>89</v>
      </c>
      <c r="F42" s="7" t="s">
        <v>339</v>
      </c>
      <c r="G42" s="7" t="s">
        <v>340</v>
      </c>
      <c r="H42" s="7" t="s">
        <v>260</v>
      </c>
    </row>
    <row r="43" spans="1:8">
      <c r="A43" s="7" t="s">
        <v>148</v>
      </c>
      <c r="B43" s="7" t="s">
        <v>341</v>
      </c>
      <c r="C43" s="7" t="s">
        <v>41</v>
      </c>
      <c r="D43" s="7" t="s">
        <v>19</v>
      </c>
      <c r="E43" s="7" t="s">
        <v>25</v>
      </c>
      <c r="F43" s="7" t="s">
        <v>342</v>
      </c>
      <c r="G43" s="7" t="s">
        <v>343</v>
      </c>
      <c r="H43" s="7" t="s">
        <v>237</v>
      </c>
    </row>
    <row r="44" spans="1:8">
      <c r="A44" s="7" t="s">
        <v>148</v>
      </c>
      <c r="B44" s="7" t="s">
        <v>341</v>
      </c>
      <c r="C44" s="7" t="s">
        <v>18</v>
      </c>
      <c r="D44" s="7" t="s">
        <v>19</v>
      </c>
      <c r="E44" s="7" t="s">
        <v>20</v>
      </c>
      <c r="F44" s="7" t="s">
        <v>344</v>
      </c>
      <c r="G44" s="7" t="s">
        <v>345</v>
      </c>
      <c r="H44" s="7" t="s">
        <v>237</v>
      </c>
    </row>
    <row r="45" spans="1:8">
      <c r="A45" s="7" t="s">
        <v>160</v>
      </c>
      <c r="B45" s="7" t="s">
        <v>341</v>
      </c>
      <c r="C45" s="7" t="s">
        <v>23</v>
      </c>
      <c r="D45" s="7" t="s">
        <v>24</v>
      </c>
      <c r="E45" s="7" t="s">
        <v>25</v>
      </c>
      <c r="F45" s="7" t="s">
        <v>346</v>
      </c>
      <c r="G45" s="7" t="s">
        <v>347</v>
      </c>
      <c r="H45" s="7" t="s">
        <v>237</v>
      </c>
    </row>
    <row r="46" spans="1:8">
      <c r="A46" s="7" t="s">
        <v>168</v>
      </c>
      <c r="B46" s="7" t="s">
        <v>341</v>
      </c>
      <c r="C46" s="7" t="s">
        <v>23</v>
      </c>
      <c r="D46" s="7" t="s">
        <v>24</v>
      </c>
      <c r="E46" s="7" t="s">
        <v>25</v>
      </c>
      <c r="F46" s="7" t="s">
        <v>348</v>
      </c>
      <c r="G46" s="7" t="s">
        <v>349</v>
      </c>
      <c r="H46" s="7" t="s">
        <v>237</v>
      </c>
    </row>
    <row r="47" spans="1:8">
      <c r="A47" s="7" t="s">
        <v>168</v>
      </c>
      <c r="B47" s="7" t="s">
        <v>341</v>
      </c>
      <c r="C47" s="7" t="s">
        <v>73</v>
      </c>
      <c r="D47" s="7" t="s">
        <v>24</v>
      </c>
      <c r="E47" s="7" t="s">
        <v>40</v>
      </c>
      <c r="F47" s="7" t="s">
        <v>350</v>
      </c>
      <c r="G47" s="7" t="s">
        <v>351</v>
      </c>
      <c r="H47" s="7" t="s">
        <v>237</v>
      </c>
    </row>
    <row r="48" spans="1:8">
      <c r="A48" s="7" t="s">
        <v>178</v>
      </c>
      <c r="B48" s="7" t="s">
        <v>341</v>
      </c>
      <c r="C48" s="7" t="s">
        <v>26</v>
      </c>
      <c r="D48" s="7" t="s">
        <v>27</v>
      </c>
      <c r="E48" s="7" t="s">
        <v>25</v>
      </c>
      <c r="F48" s="7" t="s">
        <v>352</v>
      </c>
      <c r="G48" s="7" t="s">
        <v>353</v>
      </c>
      <c r="H48" s="7" t="s">
        <v>237</v>
      </c>
    </row>
    <row r="49" spans="1:8">
      <c r="A49" s="7" t="s">
        <v>178</v>
      </c>
      <c r="B49" s="7" t="s">
        <v>341</v>
      </c>
      <c r="C49" s="7" t="s">
        <v>32</v>
      </c>
      <c r="D49" s="7" t="s">
        <v>33</v>
      </c>
      <c r="E49" s="7" t="s">
        <v>25</v>
      </c>
      <c r="F49" s="7" t="s">
        <v>354</v>
      </c>
      <c r="G49" s="7" t="s">
        <v>355</v>
      </c>
      <c r="H49" s="7" t="s">
        <v>237</v>
      </c>
    </row>
    <row r="50" spans="1:8">
      <c r="A50" s="7" t="s">
        <v>182</v>
      </c>
      <c r="B50" s="7" t="s">
        <v>341</v>
      </c>
      <c r="C50" s="7" t="s">
        <v>28</v>
      </c>
      <c r="D50" s="7" t="s">
        <v>29</v>
      </c>
      <c r="E50" s="7" t="s">
        <v>25</v>
      </c>
      <c r="F50" s="7" t="s">
        <v>356</v>
      </c>
      <c r="G50" s="7" t="s">
        <v>357</v>
      </c>
      <c r="H50" s="7" t="s">
        <v>237</v>
      </c>
    </row>
    <row r="51" spans="1:8">
      <c r="A51" s="7" t="s">
        <v>182</v>
      </c>
      <c r="B51" s="7" t="s">
        <v>341</v>
      </c>
      <c r="C51" s="7" t="s">
        <v>74</v>
      </c>
      <c r="D51" s="7" t="s">
        <v>75</v>
      </c>
      <c r="E51" s="7" t="s">
        <v>25</v>
      </c>
      <c r="F51" s="7" t="s">
        <v>358</v>
      </c>
      <c r="G51" s="7" t="s">
        <v>359</v>
      </c>
      <c r="H51" s="7" t="s">
        <v>237</v>
      </c>
    </row>
    <row r="52" spans="1:8">
      <c r="A52" s="7" t="s">
        <v>182</v>
      </c>
      <c r="B52" s="7" t="s">
        <v>341</v>
      </c>
      <c r="C52" s="7" t="s">
        <v>50</v>
      </c>
      <c r="D52" s="7" t="s">
        <v>51</v>
      </c>
      <c r="E52" s="7" t="s">
        <v>25</v>
      </c>
      <c r="F52" s="7" t="s">
        <v>360</v>
      </c>
      <c r="G52" s="7" t="s">
        <v>361</v>
      </c>
      <c r="H52" s="7" t="s">
        <v>237</v>
      </c>
    </row>
    <row r="53" spans="1:8">
      <c r="A53" s="7" t="s">
        <v>182</v>
      </c>
      <c r="B53" s="7" t="s">
        <v>341</v>
      </c>
      <c r="C53" s="7" t="s">
        <v>76</v>
      </c>
      <c r="D53" s="7" t="s">
        <v>77</v>
      </c>
      <c r="E53" s="7" t="s">
        <v>20</v>
      </c>
      <c r="F53" s="7" t="s">
        <v>362</v>
      </c>
      <c r="G53" s="7" t="s">
        <v>363</v>
      </c>
      <c r="H53" s="7" t="s">
        <v>237</v>
      </c>
    </row>
    <row r="54" spans="1:8">
      <c r="A54" s="7" t="s">
        <v>182</v>
      </c>
      <c r="B54" s="7" t="s">
        <v>341</v>
      </c>
      <c r="C54" s="7" t="s">
        <v>78</v>
      </c>
      <c r="D54" s="7" t="s">
        <v>79</v>
      </c>
      <c r="E54" s="7" t="s">
        <v>20</v>
      </c>
      <c r="F54" s="7" t="s">
        <v>364</v>
      </c>
      <c r="G54" s="7" t="s">
        <v>365</v>
      </c>
      <c r="H54" s="7" t="s">
        <v>237</v>
      </c>
    </row>
    <row r="55" spans="1:8">
      <c r="A55" s="7" t="s">
        <v>193</v>
      </c>
      <c r="B55" s="7" t="s">
        <v>341</v>
      </c>
      <c r="C55" s="7" t="s">
        <v>26</v>
      </c>
      <c r="D55" s="7" t="s">
        <v>27</v>
      </c>
      <c r="E55" s="7" t="s">
        <v>25</v>
      </c>
      <c r="F55" s="7" t="s">
        <v>366</v>
      </c>
      <c r="G55" s="7" t="s">
        <v>367</v>
      </c>
      <c r="H55" s="7" t="s">
        <v>237</v>
      </c>
    </row>
    <row r="56" spans="1:8">
      <c r="A56" s="7" t="s">
        <v>193</v>
      </c>
      <c r="B56" s="7" t="s">
        <v>341</v>
      </c>
      <c r="C56" s="7" t="s">
        <v>30</v>
      </c>
      <c r="D56" s="7" t="s">
        <v>31</v>
      </c>
      <c r="E56" s="7" t="s">
        <v>25</v>
      </c>
      <c r="F56" s="7" t="s">
        <v>368</v>
      </c>
      <c r="G56" s="7" t="s">
        <v>369</v>
      </c>
      <c r="H56" s="7" t="s">
        <v>237</v>
      </c>
    </row>
    <row r="57" spans="1:8">
      <c r="A57" s="7" t="s">
        <v>193</v>
      </c>
      <c r="B57" s="7" t="s">
        <v>341</v>
      </c>
      <c r="C57" s="7" t="s">
        <v>80</v>
      </c>
      <c r="D57" s="7" t="s">
        <v>27</v>
      </c>
      <c r="E57" s="7" t="s">
        <v>81</v>
      </c>
      <c r="F57" s="7" t="s">
        <v>370</v>
      </c>
      <c r="G57" s="7" t="s">
        <v>371</v>
      </c>
      <c r="H57" s="7" t="s">
        <v>237</v>
      </c>
    </row>
    <row r="58" spans="1:8">
      <c r="A58" s="7" t="s">
        <v>199</v>
      </c>
      <c r="B58" s="7" t="s">
        <v>341</v>
      </c>
      <c r="C58" s="7" t="s">
        <v>26</v>
      </c>
      <c r="D58" s="7" t="s">
        <v>27</v>
      </c>
      <c r="E58" s="7" t="s">
        <v>25</v>
      </c>
      <c r="F58" s="7" t="s">
        <v>372</v>
      </c>
      <c r="G58" s="7" t="s">
        <v>373</v>
      </c>
      <c r="H58" s="7" t="s">
        <v>237</v>
      </c>
    </row>
    <row r="59" spans="1:8">
      <c r="A59" s="7" t="s">
        <v>199</v>
      </c>
      <c r="B59" s="7" t="s">
        <v>341</v>
      </c>
      <c r="C59" s="7" t="s">
        <v>32</v>
      </c>
      <c r="D59" s="7" t="s">
        <v>33</v>
      </c>
      <c r="E59" s="7" t="s">
        <v>25</v>
      </c>
      <c r="F59" s="7" t="s">
        <v>374</v>
      </c>
      <c r="G59" s="7" t="s">
        <v>375</v>
      </c>
      <c r="H59" s="7" t="s">
        <v>237</v>
      </c>
    </row>
    <row r="60" spans="1:8">
      <c r="A60" s="7" t="s">
        <v>199</v>
      </c>
      <c r="B60" s="7" t="s">
        <v>341</v>
      </c>
      <c r="C60" s="7" t="s">
        <v>41</v>
      </c>
      <c r="D60" s="7" t="s">
        <v>19</v>
      </c>
      <c r="E60" s="7" t="s">
        <v>25</v>
      </c>
      <c r="F60" s="7" t="s">
        <v>376</v>
      </c>
      <c r="G60" s="7" t="s">
        <v>377</v>
      </c>
      <c r="H60" s="7" t="s">
        <v>237</v>
      </c>
    </row>
    <row r="61" spans="1:8">
      <c r="A61" s="7" t="s">
        <v>199</v>
      </c>
      <c r="B61" s="7" t="s">
        <v>341</v>
      </c>
      <c r="C61" s="7" t="s">
        <v>46</v>
      </c>
      <c r="D61" s="7" t="s">
        <v>27</v>
      </c>
      <c r="E61" s="7" t="s">
        <v>20</v>
      </c>
      <c r="F61" s="7" t="s">
        <v>378</v>
      </c>
      <c r="G61" s="7" t="s">
        <v>379</v>
      </c>
      <c r="H61" s="7" t="s">
        <v>237</v>
      </c>
    </row>
    <row r="62" spans="1:8">
      <c r="A62" s="7" t="s">
        <v>207</v>
      </c>
      <c r="B62" s="7" t="s">
        <v>341</v>
      </c>
      <c r="C62" s="7" t="s">
        <v>26</v>
      </c>
      <c r="D62" s="7" t="s">
        <v>27</v>
      </c>
      <c r="E62" s="7" t="s">
        <v>25</v>
      </c>
      <c r="F62" s="7" t="s">
        <v>380</v>
      </c>
      <c r="G62" s="7" t="s">
        <v>381</v>
      </c>
      <c r="H62" s="7" t="s">
        <v>237</v>
      </c>
    </row>
    <row r="63" spans="1:8">
      <c r="A63" s="7" t="s">
        <v>207</v>
      </c>
      <c r="B63" s="7" t="s">
        <v>341</v>
      </c>
      <c r="C63" s="7" t="s">
        <v>23</v>
      </c>
      <c r="D63" s="7" t="s">
        <v>24</v>
      </c>
      <c r="E63" s="7" t="s">
        <v>25</v>
      </c>
      <c r="F63" s="7" t="s">
        <v>382</v>
      </c>
      <c r="G63" s="7" t="s">
        <v>383</v>
      </c>
      <c r="H63" s="7" t="s">
        <v>237</v>
      </c>
    </row>
    <row r="64" spans="1:8">
      <c r="A64" s="7" t="s">
        <v>207</v>
      </c>
      <c r="B64" s="7" t="s">
        <v>341</v>
      </c>
      <c r="C64" s="7" t="s">
        <v>83</v>
      </c>
      <c r="D64" s="7" t="s">
        <v>39</v>
      </c>
      <c r="E64" s="7" t="s">
        <v>25</v>
      </c>
      <c r="F64" s="7" t="s">
        <v>384</v>
      </c>
      <c r="G64" s="7" t="s">
        <v>385</v>
      </c>
      <c r="H64" s="7" t="s">
        <v>237</v>
      </c>
    </row>
    <row r="65" spans="1:8">
      <c r="A65" s="7" t="s">
        <v>207</v>
      </c>
      <c r="B65" s="7" t="s">
        <v>341</v>
      </c>
      <c r="C65" s="7" t="s">
        <v>82</v>
      </c>
      <c r="D65" s="7" t="s">
        <v>27</v>
      </c>
      <c r="E65" s="7" t="s">
        <v>35</v>
      </c>
      <c r="F65" s="7" t="s">
        <v>386</v>
      </c>
      <c r="G65" s="7" t="s">
        <v>387</v>
      </c>
      <c r="H65" s="7" t="s">
        <v>237</v>
      </c>
    </row>
    <row r="66" spans="1:8">
      <c r="A66" s="7" t="s">
        <v>215</v>
      </c>
      <c r="B66" s="7" t="s">
        <v>341</v>
      </c>
      <c r="C66" s="7" t="s">
        <v>26</v>
      </c>
      <c r="D66" s="7" t="s">
        <v>27</v>
      </c>
      <c r="E66" s="7" t="s">
        <v>25</v>
      </c>
      <c r="F66" s="7" t="s">
        <v>388</v>
      </c>
      <c r="G66" s="7" t="s">
        <v>389</v>
      </c>
      <c r="H66" s="7" t="s">
        <v>237</v>
      </c>
    </row>
    <row r="67" spans="1:8">
      <c r="A67" s="7" t="s">
        <v>215</v>
      </c>
      <c r="B67" s="7" t="s">
        <v>341</v>
      </c>
      <c r="C67" s="7" t="s">
        <v>47</v>
      </c>
      <c r="D67" s="7" t="s">
        <v>48</v>
      </c>
      <c r="E67" s="7" t="s">
        <v>25</v>
      </c>
      <c r="F67" s="7" t="s">
        <v>390</v>
      </c>
      <c r="G67" s="7" t="s">
        <v>391</v>
      </c>
      <c r="H67" s="7" t="s">
        <v>237</v>
      </c>
    </row>
    <row r="68" spans="1:8">
      <c r="A68" s="7" t="s">
        <v>215</v>
      </c>
      <c r="B68" s="7" t="s">
        <v>341</v>
      </c>
      <c r="C68" s="7" t="s">
        <v>30</v>
      </c>
      <c r="D68" s="7" t="s">
        <v>31</v>
      </c>
      <c r="E68" s="7" t="s">
        <v>25</v>
      </c>
      <c r="F68" s="7" t="s">
        <v>392</v>
      </c>
      <c r="G68" s="7" t="s">
        <v>393</v>
      </c>
      <c r="H68" s="7" t="s">
        <v>237</v>
      </c>
    </row>
    <row r="69" spans="1:8">
      <c r="A69" s="7" t="s">
        <v>215</v>
      </c>
      <c r="B69" s="7" t="s">
        <v>341</v>
      </c>
      <c r="C69" s="7" t="s">
        <v>84</v>
      </c>
      <c r="D69" s="7" t="s">
        <v>85</v>
      </c>
      <c r="E69" s="7" t="s">
        <v>25</v>
      </c>
      <c r="F69" s="7" t="s">
        <v>394</v>
      </c>
      <c r="G69" s="7" t="s">
        <v>395</v>
      </c>
      <c r="H69" s="7" t="s">
        <v>237</v>
      </c>
    </row>
    <row r="70" spans="1:8">
      <c r="A70" s="7" t="s">
        <v>221</v>
      </c>
      <c r="B70" s="7" t="s">
        <v>341</v>
      </c>
      <c r="C70" s="7" t="s">
        <v>32</v>
      </c>
      <c r="D70" s="7" t="s">
        <v>33</v>
      </c>
      <c r="E70" s="7" t="s">
        <v>25</v>
      </c>
      <c r="F70" s="7" t="s">
        <v>396</v>
      </c>
      <c r="G70" s="7" t="s">
        <v>397</v>
      </c>
      <c r="H70" s="7" t="s">
        <v>237</v>
      </c>
    </row>
    <row r="71" spans="1:8">
      <c r="A71" s="7" t="s">
        <v>221</v>
      </c>
      <c r="B71" s="7" t="s">
        <v>341</v>
      </c>
      <c r="C71" s="7" t="s">
        <v>49</v>
      </c>
      <c r="D71" s="7" t="s">
        <v>33</v>
      </c>
      <c r="E71" s="7" t="s">
        <v>40</v>
      </c>
      <c r="F71" s="7" t="s">
        <v>398</v>
      </c>
      <c r="G71" s="7" t="s">
        <v>399</v>
      </c>
      <c r="H71" s="7" t="s">
        <v>237</v>
      </c>
    </row>
    <row r="72" spans="1:8">
      <c r="A72" s="7" t="s">
        <v>227</v>
      </c>
      <c r="B72" s="7" t="s">
        <v>341</v>
      </c>
      <c r="C72" s="7" t="s">
        <v>23</v>
      </c>
      <c r="D72" s="7" t="s">
        <v>24</v>
      </c>
      <c r="E72" s="7" t="s">
        <v>25</v>
      </c>
      <c r="F72" s="7" t="s">
        <v>400</v>
      </c>
      <c r="G72" s="7" t="s">
        <v>401</v>
      </c>
      <c r="H72" s="7" t="s">
        <v>237</v>
      </c>
    </row>
    <row r="73" spans="1:8">
      <c r="A73" s="7" t="s">
        <v>227</v>
      </c>
      <c r="B73" s="7" t="s">
        <v>341</v>
      </c>
      <c r="C73" s="7" t="s">
        <v>86</v>
      </c>
      <c r="D73" s="7" t="s">
        <v>24</v>
      </c>
      <c r="E73" s="7" t="s">
        <v>35</v>
      </c>
      <c r="F73" s="7" t="s">
        <v>402</v>
      </c>
      <c r="G73" s="7" t="s">
        <v>403</v>
      </c>
      <c r="H73" s="7" t="s">
        <v>237</v>
      </c>
    </row>
    <row r="74" spans="1:8">
      <c r="A74" s="7" t="s">
        <v>227</v>
      </c>
      <c r="B74" s="7" t="s">
        <v>341</v>
      </c>
      <c r="C74" s="7" t="s">
        <v>34</v>
      </c>
      <c r="D74" s="7" t="s">
        <v>19</v>
      </c>
      <c r="E74" s="7" t="s">
        <v>35</v>
      </c>
      <c r="F74" s="7" t="s">
        <v>404</v>
      </c>
      <c r="G74" s="7" t="s">
        <v>405</v>
      </c>
      <c r="H74" s="7" t="s">
        <v>237</v>
      </c>
    </row>
    <row r="75" spans="1:8">
      <c r="A75" s="7" t="s">
        <v>227</v>
      </c>
      <c r="B75" s="7" t="s">
        <v>341</v>
      </c>
      <c r="C75" s="7" t="s">
        <v>18</v>
      </c>
      <c r="D75" s="7" t="s">
        <v>19</v>
      </c>
      <c r="E75" s="7" t="s">
        <v>20</v>
      </c>
      <c r="F75" s="7" t="s">
        <v>406</v>
      </c>
      <c r="G75" s="7" t="s">
        <v>407</v>
      </c>
      <c r="H75" s="7" t="s">
        <v>237</v>
      </c>
    </row>
    <row r="76" spans="1:8">
      <c r="A76" s="7" t="s">
        <v>237</v>
      </c>
      <c r="B76" s="7" t="s">
        <v>341</v>
      </c>
      <c r="C76" s="7" t="s">
        <v>44</v>
      </c>
      <c r="D76" s="7" t="s">
        <v>45</v>
      </c>
      <c r="E76" s="7" t="s">
        <v>25</v>
      </c>
      <c r="F76" s="7" t="s">
        <v>408</v>
      </c>
      <c r="G76" s="7" t="s">
        <v>409</v>
      </c>
      <c r="H76" s="7" t="s">
        <v>237</v>
      </c>
    </row>
    <row r="77" spans="1:8">
      <c r="A77" s="7" t="s">
        <v>237</v>
      </c>
      <c r="B77" s="7" t="s">
        <v>341</v>
      </c>
      <c r="C77" s="7" t="s">
        <v>50</v>
      </c>
      <c r="D77" s="7" t="s">
        <v>51</v>
      </c>
      <c r="E77" s="7" t="s">
        <v>25</v>
      </c>
      <c r="F77" s="7" t="s">
        <v>410</v>
      </c>
      <c r="G77" s="7" t="s">
        <v>411</v>
      </c>
      <c r="H77" s="7" t="s">
        <v>237</v>
      </c>
    </row>
    <row r="78" spans="1:8">
      <c r="A78" s="7" t="s">
        <v>237</v>
      </c>
      <c r="B78" s="7" t="s">
        <v>341</v>
      </c>
      <c r="C78" s="7" t="s">
        <v>36</v>
      </c>
      <c r="D78" s="7" t="s">
        <v>37</v>
      </c>
      <c r="E78" s="7" t="s">
        <v>25</v>
      </c>
      <c r="F78" s="7" t="s">
        <v>412</v>
      </c>
      <c r="G78" s="7" t="s">
        <v>413</v>
      </c>
      <c r="H78" s="7" t="s">
        <v>237</v>
      </c>
    </row>
    <row r="79" spans="1:8">
      <c r="A79" s="7" t="s">
        <v>247</v>
      </c>
      <c r="B79" s="7" t="s">
        <v>341</v>
      </c>
      <c r="C79" s="7" t="s">
        <v>47</v>
      </c>
      <c r="D79" s="7" t="s">
        <v>48</v>
      </c>
      <c r="E79" s="7" t="s">
        <v>25</v>
      </c>
      <c r="F79" s="7" t="s">
        <v>414</v>
      </c>
      <c r="G79" s="7" t="s">
        <v>415</v>
      </c>
      <c r="H79" s="7" t="s">
        <v>237</v>
      </c>
    </row>
    <row r="80" spans="1:8">
      <c r="A80" s="7" t="s">
        <v>247</v>
      </c>
      <c r="B80" s="7" t="s">
        <v>341</v>
      </c>
      <c r="C80" s="7" t="s">
        <v>90</v>
      </c>
      <c r="D80" s="7" t="s">
        <v>91</v>
      </c>
      <c r="E80" s="7" t="s">
        <v>25</v>
      </c>
      <c r="F80" s="7" t="s">
        <v>416</v>
      </c>
      <c r="G80" s="7" t="s">
        <v>417</v>
      </c>
      <c r="H80" s="7" t="s">
        <v>237</v>
      </c>
    </row>
    <row r="81" spans="1:8">
      <c r="A81" s="7" t="s">
        <v>247</v>
      </c>
      <c r="B81" s="7" t="s">
        <v>341</v>
      </c>
      <c r="C81" s="7" t="s">
        <v>38</v>
      </c>
      <c r="D81" s="7" t="s">
        <v>39</v>
      </c>
      <c r="E81" s="7" t="s">
        <v>40</v>
      </c>
      <c r="F81" s="7" t="s">
        <v>418</v>
      </c>
      <c r="G81" s="7" t="s">
        <v>419</v>
      </c>
      <c r="H81" s="7" t="s">
        <v>237</v>
      </c>
    </row>
    <row r="82" spans="1:8">
      <c r="A82" s="7" t="s">
        <v>247</v>
      </c>
      <c r="B82" s="7" t="s">
        <v>341</v>
      </c>
      <c r="C82" s="7" t="s">
        <v>92</v>
      </c>
      <c r="D82" s="7" t="s">
        <v>93</v>
      </c>
      <c r="E82" s="7" t="s">
        <v>89</v>
      </c>
      <c r="F82" s="7" t="s">
        <v>420</v>
      </c>
      <c r="G82" s="7" t="s">
        <v>421</v>
      </c>
      <c r="H82" s="7" t="s">
        <v>237</v>
      </c>
    </row>
    <row r="83" spans="1:8">
      <c r="A83" s="7" t="s">
        <v>247</v>
      </c>
      <c r="B83" s="7" t="s">
        <v>341</v>
      </c>
      <c r="C83" s="7" t="s">
        <v>87</v>
      </c>
      <c r="D83" s="7" t="s">
        <v>88</v>
      </c>
      <c r="E83" s="7" t="s">
        <v>89</v>
      </c>
      <c r="F83" s="7" t="s">
        <v>422</v>
      </c>
      <c r="G83" s="7" t="s">
        <v>423</v>
      </c>
      <c r="H83" s="7" t="s">
        <v>237</v>
      </c>
    </row>
    <row r="84" spans="1:8">
      <c r="A84" s="7" t="s">
        <v>148</v>
      </c>
      <c r="B84" s="7" t="s">
        <v>424</v>
      </c>
      <c r="C84" s="7" t="s">
        <v>41</v>
      </c>
      <c r="D84" s="7" t="s">
        <v>19</v>
      </c>
      <c r="E84" s="7" t="s">
        <v>25</v>
      </c>
      <c r="F84" s="7" t="s">
        <v>425</v>
      </c>
      <c r="G84" s="7" t="s">
        <v>426</v>
      </c>
      <c r="H84" s="7" t="s">
        <v>178</v>
      </c>
    </row>
    <row r="85" spans="1:8">
      <c r="A85" s="7" t="s">
        <v>148</v>
      </c>
      <c r="B85" s="7" t="s">
        <v>424</v>
      </c>
      <c r="C85" s="7" t="s">
        <v>18</v>
      </c>
      <c r="D85" s="7" t="s">
        <v>19</v>
      </c>
      <c r="E85" s="7" t="s">
        <v>20</v>
      </c>
      <c r="F85" s="7" t="s">
        <v>427</v>
      </c>
      <c r="G85" s="7" t="s">
        <v>428</v>
      </c>
      <c r="H85" s="7" t="s">
        <v>178</v>
      </c>
    </row>
    <row r="86" spans="1:8">
      <c r="A86" s="7" t="s">
        <v>160</v>
      </c>
      <c r="B86" s="7" t="s">
        <v>424</v>
      </c>
      <c r="C86" s="7" t="s">
        <v>23</v>
      </c>
      <c r="D86" s="7" t="s">
        <v>24</v>
      </c>
      <c r="E86" s="7" t="s">
        <v>25</v>
      </c>
      <c r="F86" s="7" t="s">
        <v>429</v>
      </c>
      <c r="G86" s="7" t="s">
        <v>430</v>
      </c>
      <c r="H86" s="7" t="s">
        <v>178</v>
      </c>
    </row>
    <row r="87" spans="1:8">
      <c r="A87" s="7" t="s">
        <v>168</v>
      </c>
      <c r="B87" s="7" t="s">
        <v>424</v>
      </c>
      <c r="C87" s="7" t="s">
        <v>23</v>
      </c>
      <c r="D87" s="7" t="s">
        <v>24</v>
      </c>
      <c r="E87" s="7" t="s">
        <v>25</v>
      </c>
      <c r="F87" s="7" t="s">
        <v>431</v>
      </c>
      <c r="G87" s="7" t="s">
        <v>432</v>
      </c>
      <c r="H87" s="7" t="s">
        <v>178</v>
      </c>
    </row>
    <row r="88" spans="1:8">
      <c r="A88" s="7" t="s">
        <v>168</v>
      </c>
      <c r="B88" s="7" t="s">
        <v>424</v>
      </c>
      <c r="C88" s="7" t="s">
        <v>73</v>
      </c>
      <c r="D88" s="7" t="s">
        <v>24</v>
      </c>
      <c r="E88" s="7" t="s">
        <v>40</v>
      </c>
      <c r="F88" s="7" t="s">
        <v>433</v>
      </c>
      <c r="G88" s="7" t="s">
        <v>434</v>
      </c>
      <c r="H88" s="7" t="s">
        <v>178</v>
      </c>
    </row>
    <row r="89" spans="1:8">
      <c r="A89" s="7" t="s">
        <v>178</v>
      </c>
      <c r="B89" s="7" t="s">
        <v>424</v>
      </c>
      <c r="C89" s="7" t="s">
        <v>26</v>
      </c>
      <c r="D89" s="7" t="s">
        <v>27</v>
      </c>
      <c r="E89" s="7" t="s">
        <v>25</v>
      </c>
      <c r="F89" s="7" t="s">
        <v>435</v>
      </c>
      <c r="G89" s="7" t="s">
        <v>436</v>
      </c>
      <c r="H89" s="7" t="s">
        <v>178</v>
      </c>
    </row>
    <row r="90" spans="1:8">
      <c r="A90" s="7" t="s">
        <v>178</v>
      </c>
      <c r="B90" s="7" t="s">
        <v>424</v>
      </c>
      <c r="C90" s="7" t="s">
        <v>32</v>
      </c>
      <c r="D90" s="7" t="s">
        <v>33</v>
      </c>
      <c r="E90" s="7" t="s">
        <v>25</v>
      </c>
      <c r="F90" s="7" t="s">
        <v>437</v>
      </c>
      <c r="G90" s="7" t="s">
        <v>438</v>
      </c>
      <c r="H90" s="7" t="s">
        <v>178</v>
      </c>
    </row>
    <row r="91" spans="1:8">
      <c r="A91" s="7" t="s">
        <v>182</v>
      </c>
      <c r="B91" s="7" t="s">
        <v>424</v>
      </c>
      <c r="C91" s="7" t="s">
        <v>28</v>
      </c>
      <c r="D91" s="7" t="s">
        <v>29</v>
      </c>
      <c r="E91" s="7" t="s">
        <v>25</v>
      </c>
      <c r="F91" s="7" t="s">
        <v>439</v>
      </c>
      <c r="G91" s="7" t="s">
        <v>440</v>
      </c>
      <c r="H91" s="7" t="s">
        <v>178</v>
      </c>
    </row>
    <row r="92" spans="1:8">
      <c r="A92" s="7" t="s">
        <v>182</v>
      </c>
      <c r="B92" s="7" t="s">
        <v>424</v>
      </c>
      <c r="C92" s="7" t="s">
        <v>74</v>
      </c>
      <c r="D92" s="7" t="s">
        <v>75</v>
      </c>
      <c r="E92" s="7" t="s">
        <v>25</v>
      </c>
      <c r="F92" s="7" t="s">
        <v>441</v>
      </c>
      <c r="G92" s="7" t="s">
        <v>442</v>
      </c>
      <c r="H92" s="7" t="s">
        <v>178</v>
      </c>
    </row>
    <row r="93" spans="1:8">
      <c r="A93" s="7" t="s">
        <v>182</v>
      </c>
      <c r="B93" s="7" t="s">
        <v>424</v>
      </c>
      <c r="C93" s="7" t="s">
        <v>50</v>
      </c>
      <c r="D93" s="7" t="s">
        <v>51</v>
      </c>
      <c r="E93" s="7" t="s">
        <v>25</v>
      </c>
      <c r="F93" s="7" t="s">
        <v>443</v>
      </c>
      <c r="G93" s="7" t="s">
        <v>444</v>
      </c>
      <c r="H93" s="7" t="s">
        <v>178</v>
      </c>
    </row>
    <row r="94" spans="1:8">
      <c r="A94" s="7" t="s">
        <v>182</v>
      </c>
      <c r="B94" s="7" t="s">
        <v>424</v>
      </c>
      <c r="C94" s="7" t="s">
        <v>76</v>
      </c>
      <c r="D94" s="7" t="s">
        <v>77</v>
      </c>
      <c r="E94" s="7" t="s">
        <v>20</v>
      </c>
      <c r="F94" s="7" t="s">
        <v>445</v>
      </c>
      <c r="G94" s="7" t="s">
        <v>446</v>
      </c>
      <c r="H94" s="7" t="s">
        <v>178</v>
      </c>
    </row>
    <row r="95" spans="1:8">
      <c r="A95" s="7" t="s">
        <v>182</v>
      </c>
      <c r="B95" s="7" t="s">
        <v>424</v>
      </c>
      <c r="C95" s="7" t="s">
        <v>78</v>
      </c>
      <c r="D95" s="7" t="s">
        <v>79</v>
      </c>
      <c r="E95" s="7" t="s">
        <v>20</v>
      </c>
      <c r="F95" s="7" t="s">
        <v>447</v>
      </c>
      <c r="G95" s="7" t="s">
        <v>448</v>
      </c>
      <c r="H95" s="7" t="s">
        <v>178</v>
      </c>
    </row>
    <row r="96" spans="1:8">
      <c r="A96" s="7" t="s">
        <v>193</v>
      </c>
      <c r="B96" s="7" t="s">
        <v>424</v>
      </c>
      <c r="C96" s="7" t="s">
        <v>26</v>
      </c>
      <c r="D96" s="7" t="s">
        <v>27</v>
      </c>
      <c r="E96" s="7" t="s">
        <v>25</v>
      </c>
      <c r="F96" s="7" t="s">
        <v>449</v>
      </c>
      <c r="G96" s="7" t="s">
        <v>450</v>
      </c>
      <c r="H96" s="7" t="s">
        <v>178</v>
      </c>
    </row>
    <row r="97" spans="1:8">
      <c r="A97" s="7" t="s">
        <v>193</v>
      </c>
      <c r="B97" s="7" t="s">
        <v>424</v>
      </c>
      <c r="C97" s="7" t="s">
        <v>30</v>
      </c>
      <c r="D97" s="7" t="s">
        <v>31</v>
      </c>
      <c r="E97" s="7" t="s">
        <v>25</v>
      </c>
      <c r="F97" s="7" t="s">
        <v>451</v>
      </c>
      <c r="G97" s="7" t="s">
        <v>452</v>
      </c>
      <c r="H97" s="7" t="s">
        <v>178</v>
      </c>
    </row>
    <row r="98" spans="1:8">
      <c r="A98" s="7" t="s">
        <v>193</v>
      </c>
      <c r="B98" s="7" t="s">
        <v>424</v>
      </c>
      <c r="C98" s="7" t="s">
        <v>80</v>
      </c>
      <c r="D98" s="7" t="s">
        <v>27</v>
      </c>
      <c r="E98" s="7" t="s">
        <v>81</v>
      </c>
      <c r="F98" s="7" t="s">
        <v>453</v>
      </c>
      <c r="G98" s="7" t="s">
        <v>454</v>
      </c>
      <c r="H98" s="7" t="s">
        <v>178</v>
      </c>
    </row>
    <row r="99" spans="1:8">
      <c r="A99" s="7" t="s">
        <v>199</v>
      </c>
      <c r="B99" s="7" t="s">
        <v>424</v>
      </c>
      <c r="C99" s="7" t="s">
        <v>26</v>
      </c>
      <c r="D99" s="7" t="s">
        <v>27</v>
      </c>
      <c r="E99" s="7" t="s">
        <v>25</v>
      </c>
      <c r="F99" s="7" t="s">
        <v>455</v>
      </c>
      <c r="G99" s="7" t="s">
        <v>456</v>
      </c>
      <c r="H99" s="7" t="s">
        <v>178</v>
      </c>
    </row>
    <row r="100" spans="1:8">
      <c r="A100" s="7" t="s">
        <v>199</v>
      </c>
      <c r="B100" s="7" t="s">
        <v>424</v>
      </c>
      <c r="C100" s="7" t="s">
        <v>32</v>
      </c>
      <c r="D100" s="7" t="s">
        <v>33</v>
      </c>
      <c r="E100" s="7" t="s">
        <v>25</v>
      </c>
      <c r="F100" s="7" t="s">
        <v>457</v>
      </c>
      <c r="G100" s="7" t="s">
        <v>458</v>
      </c>
      <c r="H100" s="7" t="s">
        <v>178</v>
      </c>
    </row>
    <row r="101" spans="1:8">
      <c r="A101" s="7" t="s">
        <v>199</v>
      </c>
      <c r="B101" s="7" t="s">
        <v>424</v>
      </c>
      <c r="C101" s="7" t="s">
        <v>41</v>
      </c>
      <c r="D101" s="7" t="s">
        <v>19</v>
      </c>
      <c r="E101" s="7" t="s">
        <v>25</v>
      </c>
      <c r="F101" s="7" t="s">
        <v>459</v>
      </c>
      <c r="G101" s="7" t="s">
        <v>460</v>
      </c>
      <c r="H101" s="7" t="s">
        <v>178</v>
      </c>
    </row>
    <row r="102" spans="1:8">
      <c r="A102" s="7" t="s">
        <v>199</v>
      </c>
      <c r="B102" s="7" t="s">
        <v>424</v>
      </c>
      <c r="C102" s="7" t="s">
        <v>46</v>
      </c>
      <c r="D102" s="7" t="s">
        <v>27</v>
      </c>
      <c r="E102" s="7" t="s">
        <v>20</v>
      </c>
      <c r="F102" s="7" t="s">
        <v>461</v>
      </c>
      <c r="G102" s="7" t="s">
        <v>462</v>
      </c>
      <c r="H102" s="7" t="s">
        <v>178</v>
      </c>
    </row>
    <row r="103" spans="1:8">
      <c r="A103" s="7" t="s">
        <v>207</v>
      </c>
      <c r="B103" s="7" t="s">
        <v>424</v>
      </c>
      <c r="C103" s="7" t="s">
        <v>26</v>
      </c>
      <c r="D103" s="7" t="s">
        <v>27</v>
      </c>
      <c r="E103" s="7" t="s">
        <v>25</v>
      </c>
      <c r="F103" s="7" t="s">
        <v>463</v>
      </c>
      <c r="G103" s="7" t="s">
        <v>464</v>
      </c>
      <c r="H103" s="7" t="s">
        <v>178</v>
      </c>
    </row>
    <row r="104" spans="1:8">
      <c r="A104" s="7" t="s">
        <v>207</v>
      </c>
      <c r="B104" s="7" t="s">
        <v>424</v>
      </c>
      <c r="C104" s="7" t="s">
        <v>23</v>
      </c>
      <c r="D104" s="7" t="s">
        <v>24</v>
      </c>
      <c r="E104" s="7" t="s">
        <v>25</v>
      </c>
      <c r="F104" s="7" t="s">
        <v>465</v>
      </c>
      <c r="G104" s="7" t="s">
        <v>466</v>
      </c>
      <c r="H104" s="7" t="s">
        <v>178</v>
      </c>
    </row>
    <row r="105" spans="1:8">
      <c r="A105" s="7" t="s">
        <v>207</v>
      </c>
      <c r="B105" s="7" t="s">
        <v>424</v>
      </c>
      <c r="C105" s="7" t="s">
        <v>83</v>
      </c>
      <c r="D105" s="7" t="s">
        <v>39</v>
      </c>
      <c r="E105" s="7" t="s">
        <v>25</v>
      </c>
      <c r="F105" s="7" t="s">
        <v>467</v>
      </c>
      <c r="G105" s="7" t="s">
        <v>468</v>
      </c>
      <c r="H105" s="7" t="s">
        <v>178</v>
      </c>
    </row>
    <row r="106" spans="1:8">
      <c r="A106" s="7" t="s">
        <v>207</v>
      </c>
      <c r="B106" s="7" t="s">
        <v>424</v>
      </c>
      <c r="C106" s="7" t="s">
        <v>82</v>
      </c>
      <c r="D106" s="7" t="s">
        <v>27</v>
      </c>
      <c r="E106" s="7" t="s">
        <v>35</v>
      </c>
      <c r="F106" s="7" t="s">
        <v>469</v>
      </c>
      <c r="G106" s="7" t="s">
        <v>470</v>
      </c>
      <c r="H106" s="7" t="s">
        <v>178</v>
      </c>
    </row>
    <row r="107" spans="1:8">
      <c r="A107" s="7" t="s">
        <v>215</v>
      </c>
      <c r="B107" s="7" t="s">
        <v>424</v>
      </c>
      <c r="C107" s="7" t="s">
        <v>26</v>
      </c>
      <c r="D107" s="7" t="s">
        <v>27</v>
      </c>
      <c r="E107" s="7" t="s">
        <v>25</v>
      </c>
      <c r="F107" s="7" t="s">
        <v>471</v>
      </c>
      <c r="G107" s="7" t="s">
        <v>472</v>
      </c>
      <c r="H107" s="7" t="s">
        <v>178</v>
      </c>
    </row>
    <row r="108" spans="1:8">
      <c r="A108" s="7" t="s">
        <v>215</v>
      </c>
      <c r="B108" s="7" t="s">
        <v>424</v>
      </c>
      <c r="C108" s="7" t="s">
        <v>47</v>
      </c>
      <c r="D108" s="7" t="s">
        <v>48</v>
      </c>
      <c r="E108" s="7" t="s">
        <v>25</v>
      </c>
      <c r="F108" s="7" t="s">
        <v>473</v>
      </c>
      <c r="G108" s="7" t="s">
        <v>474</v>
      </c>
      <c r="H108" s="7" t="s">
        <v>178</v>
      </c>
    </row>
    <row r="109" spans="1:8">
      <c r="A109" s="7" t="s">
        <v>215</v>
      </c>
      <c r="B109" s="7" t="s">
        <v>424</v>
      </c>
      <c r="C109" s="7" t="s">
        <v>30</v>
      </c>
      <c r="D109" s="7" t="s">
        <v>31</v>
      </c>
      <c r="E109" s="7" t="s">
        <v>25</v>
      </c>
      <c r="F109" s="7" t="s">
        <v>475</v>
      </c>
      <c r="G109" s="7" t="s">
        <v>476</v>
      </c>
      <c r="H109" s="7" t="s">
        <v>178</v>
      </c>
    </row>
    <row r="110" spans="1:8">
      <c r="A110" s="7" t="s">
        <v>215</v>
      </c>
      <c r="B110" s="7" t="s">
        <v>424</v>
      </c>
      <c r="C110" s="7" t="s">
        <v>84</v>
      </c>
      <c r="D110" s="7" t="s">
        <v>85</v>
      </c>
      <c r="E110" s="7" t="s">
        <v>25</v>
      </c>
      <c r="F110" s="7" t="s">
        <v>477</v>
      </c>
      <c r="G110" s="7" t="s">
        <v>478</v>
      </c>
      <c r="H110" s="7" t="s">
        <v>178</v>
      </c>
    </row>
    <row r="111" spans="1:8">
      <c r="A111" s="7" t="s">
        <v>221</v>
      </c>
      <c r="B111" s="7" t="s">
        <v>424</v>
      </c>
      <c r="C111" s="7" t="s">
        <v>32</v>
      </c>
      <c r="D111" s="7" t="s">
        <v>33</v>
      </c>
      <c r="E111" s="7" t="s">
        <v>25</v>
      </c>
      <c r="F111" s="7" t="s">
        <v>479</v>
      </c>
      <c r="G111" s="7" t="s">
        <v>480</v>
      </c>
      <c r="H111" s="7" t="s">
        <v>178</v>
      </c>
    </row>
    <row r="112" spans="1:8">
      <c r="A112" s="7" t="s">
        <v>221</v>
      </c>
      <c r="B112" s="7" t="s">
        <v>424</v>
      </c>
      <c r="C112" s="7" t="s">
        <v>49</v>
      </c>
      <c r="D112" s="7" t="s">
        <v>33</v>
      </c>
      <c r="E112" s="7" t="s">
        <v>40</v>
      </c>
      <c r="F112" s="7" t="s">
        <v>481</v>
      </c>
      <c r="G112" s="7" t="s">
        <v>482</v>
      </c>
      <c r="H112" s="7" t="s">
        <v>178</v>
      </c>
    </row>
    <row r="113" spans="1:8">
      <c r="A113" s="7" t="s">
        <v>227</v>
      </c>
      <c r="B113" s="7" t="s">
        <v>424</v>
      </c>
      <c r="C113" s="7" t="s">
        <v>23</v>
      </c>
      <c r="D113" s="7" t="s">
        <v>24</v>
      </c>
      <c r="E113" s="7" t="s">
        <v>25</v>
      </c>
      <c r="F113" s="7" t="s">
        <v>483</v>
      </c>
      <c r="G113" s="7" t="s">
        <v>484</v>
      </c>
      <c r="H113" s="7" t="s">
        <v>178</v>
      </c>
    </row>
    <row r="114" spans="1:8">
      <c r="A114" s="7" t="s">
        <v>227</v>
      </c>
      <c r="B114" s="7" t="s">
        <v>424</v>
      </c>
      <c r="C114" s="7" t="s">
        <v>86</v>
      </c>
      <c r="D114" s="7" t="s">
        <v>24</v>
      </c>
      <c r="E114" s="7" t="s">
        <v>35</v>
      </c>
      <c r="F114" s="7" t="s">
        <v>485</v>
      </c>
      <c r="G114" s="7" t="s">
        <v>486</v>
      </c>
      <c r="H114" s="7" t="s">
        <v>178</v>
      </c>
    </row>
    <row r="115" spans="1:8">
      <c r="A115" s="7" t="s">
        <v>227</v>
      </c>
      <c r="B115" s="7" t="s">
        <v>424</v>
      </c>
      <c r="C115" s="7" t="s">
        <v>34</v>
      </c>
      <c r="D115" s="7" t="s">
        <v>19</v>
      </c>
      <c r="E115" s="7" t="s">
        <v>35</v>
      </c>
      <c r="F115" s="7" t="s">
        <v>487</v>
      </c>
      <c r="G115" s="7" t="s">
        <v>488</v>
      </c>
      <c r="H115" s="7" t="s">
        <v>178</v>
      </c>
    </row>
    <row r="116" spans="1:8">
      <c r="A116" s="7" t="s">
        <v>227</v>
      </c>
      <c r="B116" s="7" t="s">
        <v>424</v>
      </c>
      <c r="C116" s="7" t="s">
        <v>18</v>
      </c>
      <c r="D116" s="7" t="s">
        <v>19</v>
      </c>
      <c r="E116" s="7" t="s">
        <v>20</v>
      </c>
      <c r="F116" s="7" t="s">
        <v>489</v>
      </c>
      <c r="G116" s="7" t="s">
        <v>490</v>
      </c>
      <c r="H116" s="7" t="s">
        <v>178</v>
      </c>
    </row>
    <row r="117" spans="1:8">
      <c r="A117" s="7" t="s">
        <v>237</v>
      </c>
      <c r="B117" s="7" t="s">
        <v>424</v>
      </c>
      <c r="C117" s="7" t="s">
        <v>44</v>
      </c>
      <c r="D117" s="7" t="s">
        <v>45</v>
      </c>
      <c r="E117" s="7" t="s">
        <v>25</v>
      </c>
      <c r="F117" s="7" t="s">
        <v>491</v>
      </c>
      <c r="G117" s="7" t="s">
        <v>492</v>
      </c>
      <c r="H117" s="7" t="s">
        <v>178</v>
      </c>
    </row>
    <row r="118" spans="1:8">
      <c r="A118" s="7" t="s">
        <v>237</v>
      </c>
      <c r="B118" s="7" t="s">
        <v>424</v>
      </c>
      <c r="C118" s="7" t="s">
        <v>50</v>
      </c>
      <c r="D118" s="7" t="s">
        <v>51</v>
      </c>
      <c r="E118" s="7" t="s">
        <v>25</v>
      </c>
      <c r="F118" s="7" t="s">
        <v>493</v>
      </c>
      <c r="G118" s="7" t="s">
        <v>494</v>
      </c>
      <c r="H118" s="7" t="s">
        <v>178</v>
      </c>
    </row>
    <row r="119" spans="1:8">
      <c r="A119" s="7" t="s">
        <v>237</v>
      </c>
      <c r="B119" s="7" t="s">
        <v>424</v>
      </c>
      <c r="C119" s="7" t="s">
        <v>36</v>
      </c>
      <c r="D119" s="7" t="s">
        <v>37</v>
      </c>
      <c r="E119" s="7" t="s">
        <v>25</v>
      </c>
      <c r="F119" s="7" t="s">
        <v>495</v>
      </c>
      <c r="G119" s="7" t="s">
        <v>496</v>
      </c>
      <c r="H119" s="7" t="s">
        <v>178</v>
      </c>
    </row>
    <row r="120" spans="1:8">
      <c r="A120" s="7" t="s">
        <v>247</v>
      </c>
      <c r="B120" s="7" t="s">
        <v>424</v>
      </c>
      <c r="C120" s="7" t="s">
        <v>47</v>
      </c>
      <c r="D120" s="7" t="s">
        <v>48</v>
      </c>
      <c r="E120" s="7" t="s">
        <v>25</v>
      </c>
      <c r="F120" s="7" t="s">
        <v>497</v>
      </c>
      <c r="G120" s="7" t="s">
        <v>498</v>
      </c>
      <c r="H120" s="7" t="s">
        <v>178</v>
      </c>
    </row>
    <row r="121" spans="1:8">
      <c r="A121" s="7" t="s">
        <v>247</v>
      </c>
      <c r="B121" s="7" t="s">
        <v>424</v>
      </c>
      <c r="C121" s="7" t="s">
        <v>90</v>
      </c>
      <c r="D121" s="7" t="s">
        <v>91</v>
      </c>
      <c r="E121" s="7" t="s">
        <v>25</v>
      </c>
      <c r="F121" s="7" t="s">
        <v>499</v>
      </c>
      <c r="G121" s="7" t="s">
        <v>500</v>
      </c>
      <c r="H121" s="7" t="s">
        <v>178</v>
      </c>
    </row>
    <row r="122" spans="1:8">
      <c r="A122" s="7" t="s">
        <v>247</v>
      </c>
      <c r="B122" s="7" t="s">
        <v>424</v>
      </c>
      <c r="C122" s="7" t="s">
        <v>38</v>
      </c>
      <c r="D122" s="7" t="s">
        <v>39</v>
      </c>
      <c r="E122" s="7" t="s">
        <v>40</v>
      </c>
      <c r="F122" s="7" t="s">
        <v>501</v>
      </c>
      <c r="G122" s="7" t="s">
        <v>502</v>
      </c>
      <c r="H122" s="7" t="s">
        <v>178</v>
      </c>
    </row>
    <row r="123" spans="1:8">
      <c r="A123" s="7" t="s">
        <v>247</v>
      </c>
      <c r="B123" s="7" t="s">
        <v>424</v>
      </c>
      <c r="C123" s="7" t="s">
        <v>92</v>
      </c>
      <c r="D123" s="7" t="s">
        <v>93</v>
      </c>
      <c r="E123" s="7" t="s">
        <v>89</v>
      </c>
      <c r="F123" s="7" t="s">
        <v>503</v>
      </c>
      <c r="G123" s="7" t="s">
        <v>504</v>
      </c>
      <c r="H123" s="7" t="s">
        <v>178</v>
      </c>
    </row>
    <row r="124" spans="1:8">
      <c r="A124" s="7" t="s">
        <v>247</v>
      </c>
      <c r="B124" s="7" t="s">
        <v>424</v>
      </c>
      <c r="C124" s="7" t="s">
        <v>87</v>
      </c>
      <c r="D124" s="7" t="s">
        <v>88</v>
      </c>
      <c r="E124" s="7" t="s">
        <v>89</v>
      </c>
      <c r="F124" s="7" t="s">
        <v>505</v>
      </c>
      <c r="G124" s="7" t="s">
        <v>506</v>
      </c>
      <c r="H124" s="7" t="s">
        <v>178</v>
      </c>
    </row>
    <row r="125" spans="1:8">
      <c r="A125" s="7" t="s">
        <v>148</v>
      </c>
      <c r="B125" s="7" t="s">
        <v>507</v>
      </c>
      <c r="C125" s="7" t="s">
        <v>41</v>
      </c>
      <c r="D125" s="7" t="s">
        <v>19</v>
      </c>
      <c r="E125" s="7" t="s">
        <v>25</v>
      </c>
      <c r="F125" s="7" t="s">
        <v>508</v>
      </c>
      <c r="G125" s="7" t="s">
        <v>509</v>
      </c>
      <c r="H125" s="7" t="s">
        <v>160</v>
      </c>
    </row>
    <row r="126" spans="1:8">
      <c r="A126" s="7" t="s">
        <v>148</v>
      </c>
      <c r="B126" s="7" t="s">
        <v>507</v>
      </c>
      <c r="C126" s="7" t="s">
        <v>18</v>
      </c>
      <c r="D126" s="7" t="s">
        <v>19</v>
      </c>
      <c r="E126" s="7" t="s">
        <v>20</v>
      </c>
      <c r="F126" s="7" t="s">
        <v>510</v>
      </c>
      <c r="G126" s="7" t="s">
        <v>511</v>
      </c>
      <c r="H126" s="7" t="s">
        <v>160</v>
      </c>
    </row>
    <row r="127" spans="1:8">
      <c r="A127" s="7" t="s">
        <v>160</v>
      </c>
      <c r="B127" s="7" t="s">
        <v>507</v>
      </c>
      <c r="C127" s="7" t="s">
        <v>23</v>
      </c>
      <c r="D127" s="7" t="s">
        <v>24</v>
      </c>
      <c r="E127" s="7" t="s">
        <v>25</v>
      </c>
      <c r="F127" s="7" t="s">
        <v>512</v>
      </c>
      <c r="G127" s="7" t="s">
        <v>513</v>
      </c>
      <c r="H127" s="7" t="s">
        <v>160</v>
      </c>
    </row>
    <row r="128" spans="1:8">
      <c r="A128" s="7" t="s">
        <v>168</v>
      </c>
      <c r="B128" s="7" t="s">
        <v>507</v>
      </c>
      <c r="C128" s="7" t="s">
        <v>23</v>
      </c>
      <c r="D128" s="7" t="s">
        <v>24</v>
      </c>
      <c r="E128" s="7" t="s">
        <v>25</v>
      </c>
      <c r="F128" s="7" t="s">
        <v>514</v>
      </c>
      <c r="G128" s="7" t="s">
        <v>515</v>
      </c>
      <c r="H128" s="7" t="s">
        <v>160</v>
      </c>
    </row>
    <row r="129" spans="1:8">
      <c r="A129" s="7" t="s">
        <v>168</v>
      </c>
      <c r="B129" s="7" t="s">
        <v>507</v>
      </c>
      <c r="C129" s="7" t="s">
        <v>73</v>
      </c>
      <c r="D129" s="7" t="s">
        <v>24</v>
      </c>
      <c r="E129" s="7" t="s">
        <v>40</v>
      </c>
      <c r="F129" s="7" t="s">
        <v>516</v>
      </c>
      <c r="G129" s="7" t="s">
        <v>517</v>
      </c>
      <c r="H129" s="7" t="s">
        <v>160</v>
      </c>
    </row>
    <row r="130" spans="1:8">
      <c r="A130" s="7" t="s">
        <v>178</v>
      </c>
      <c r="B130" s="7" t="s">
        <v>507</v>
      </c>
      <c r="C130" s="7" t="s">
        <v>26</v>
      </c>
      <c r="D130" s="7" t="s">
        <v>27</v>
      </c>
      <c r="E130" s="7" t="s">
        <v>25</v>
      </c>
      <c r="F130" s="7" t="s">
        <v>518</v>
      </c>
      <c r="G130" s="7" t="s">
        <v>519</v>
      </c>
      <c r="H130" s="7" t="s">
        <v>160</v>
      </c>
    </row>
    <row r="131" spans="1:8">
      <c r="A131" s="7" t="s">
        <v>178</v>
      </c>
      <c r="B131" s="7" t="s">
        <v>507</v>
      </c>
      <c r="C131" s="7" t="s">
        <v>32</v>
      </c>
      <c r="D131" s="7" t="s">
        <v>33</v>
      </c>
      <c r="E131" s="7" t="s">
        <v>25</v>
      </c>
      <c r="F131" s="7" t="s">
        <v>520</v>
      </c>
      <c r="G131" s="7" t="s">
        <v>521</v>
      </c>
      <c r="H131" s="7" t="s">
        <v>160</v>
      </c>
    </row>
    <row r="132" spans="1:8">
      <c r="A132" s="7" t="s">
        <v>182</v>
      </c>
      <c r="B132" s="7" t="s">
        <v>507</v>
      </c>
      <c r="C132" s="7" t="s">
        <v>28</v>
      </c>
      <c r="D132" s="7" t="s">
        <v>29</v>
      </c>
      <c r="E132" s="7" t="s">
        <v>25</v>
      </c>
      <c r="F132" s="7" t="s">
        <v>522</v>
      </c>
      <c r="G132" s="7" t="s">
        <v>523</v>
      </c>
      <c r="H132" s="7" t="s">
        <v>160</v>
      </c>
    </row>
    <row r="133" spans="1:8">
      <c r="A133" s="7" t="s">
        <v>182</v>
      </c>
      <c r="B133" s="7" t="s">
        <v>507</v>
      </c>
      <c r="C133" s="7" t="s">
        <v>74</v>
      </c>
      <c r="D133" s="7" t="s">
        <v>75</v>
      </c>
      <c r="E133" s="7" t="s">
        <v>25</v>
      </c>
      <c r="F133" s="7" t="s">
        <v>524</v>
      </c>
      <c r="G133" s="7" t="s">
        <v>525</v>
      </c>
      <c r="H133" s="7" t="s">
        <v>160</v>
      </c>
    </row>
    <row r="134" spans="1:8">
      <c r="A134" s="7" t="s">
        <v>182</v>
      </c>
      <c r="B134" s="7" t="s">
        <v>507</v>
      </c>
      <c r="C134" s="7" t="s">
        <v>50</v>
      </c>
      <c r="D134" s="7" t="s">
        <v>51</v>
      </c>
      <c r="E134" s="7" t="s">
        <v>25</v>
      </c>
      <c r="F134" s="7" t="s">
        <v>526</v>
      </c>
      <c r="G134" s="7" t="s">
        <v>527</v>
      </c>
      <c r="H134" s="7" t="s">
        <v>160</v>
      </c>
    </row>
    <row r="135" spans="1:8">
      <c r="A135" s="7" t="s">
        <v>182</v>
      </c>
      <c r="B135" s="7" t="s">
        <v>507</v>
      </c>
      <c r="C135" s="7" t="s">
        <v>76</v>
      </c>
      <c r="D135" s="7" t="s">
        <v>77</v>
      </c>
      <c r="E135" s="7" t="s">
        <v>20</v>
      </c>
      <c r="F135" s="7" t="s">
        <v>528</v>
      </c>
      <c r="G135" s="7" t="s">
        <v>529</v>
      </c>
      <c r="H135" s="7" t="s">
        <v>160</v>
      </c>
    </row>
    <row r="136" spans="1:8">
      <c r="A136" s="7" t="s">
        <v>182</v>
      </c>
      <c r="B136" s="7" t="s">
        <v>507</v>
      </c>
      <c r="C136" s="7" t="s">
        <v>78</v>
      </c>
      <c r="D136" s="7" t="s">
        <v>79</v>
      </c>
      <c r="E136" s="7" t="s">
        <v>20</v>
      </c>
      <c r="F136" s="7" t="s">
        <v>530</v>
      </c>
      <c r="G136" s="7" t="s">
        <v>531</v>
      </c>
      <c r="H136" s="7" t="s">
        <v>160</v>
      </c>
    </row>
    <row r="137" spans="1:8">
      <c r="A137" s="7" t="s">
        <v>193</v>
      </c>
      <c r="B137" s="7" t="s">
        <v>507</v>
      </c>
      <c r="C137" s="7" t="s">
        <v>26</v>
      </c>
      <c r="D137" s="7" t="s">
        <v>27</v>
      </c>
      <c r="E137" s="7" t="s">
        <v>25</v>
      </c>
      <c r="F137" s="7" t="s">
        <v>532</v>
      </c>
      <c r="G137" s="7" t="s">
        <v>533</v>
      </c>
      <c r="H137" s="7" t="s">
        <v>160</v>
      </c>
    </row>
    <row r="138" spans="1:8">
      <c r="A138" s="7" t="s">
        <v>193</v>
      </c>
      <c r="B138" s="7" t="s">
        <v>507</v>
      </c>
      <c r="C138" s="7" t="s">
        <v>30</v>
      </c>
      <c r="D138" s="7" t="s">
        <v>31</v>
      </c>
      <c r="E138" s="7" t="s">
        <v>25</v>
      </c>
      <c r="F138" s="7" t="s">
        <v>534</v>
      </c>
      <c r="G138" s="7" t="s">
        <v>535</v>
      </c>
      <c r="H138" s="7" t="s">
        <v>160</v>
      </c>
    </row>
    <row r="139" spans="1:8">
      <c r="A139" s="7" t="s">
        <v>193</v>
      </c>
      <c r="B139" s="7" t="s">
        <v>507</v>
      </c>
      <c r="C139" s="7" t="s">
        <v>80</v>
      </c>
      <c r="D139" s="7" t="s">
        <v>27</v>
      </c>
      <c r="E139" s="7" t="s">
        <v>81</v>
      </c>
      <c r="F139" s="7" t="s">
        <v>536</v>
      </c>
      <c r="G139" s="7" t="s">
        <v>537</v>
      </c>
      <c r="H139" s="7" t="s">
        <v>160</v>
      </c>
    </row>
    <row r="140" spans="1:8">
      <c r="A140" s="7" t="s">
        <v>199</v>
      </c>
      <c r="B140" s="7" t="s">
        <v>507</v>
      </c>
      <c r="C140" s="7" t="s">
        <v>26</v>
      </c>
      <c r="D140" s="7" t="s">
        <v>27</v>
      </c>
      <c r="E140" s="7" t="s">
        <v>25</v>
      </c>
      <c r="F140" s="7" t="s">
        <v>538</v>
      </c>
      <c r="G140" s="7" t="s">
        <v>539</v>
      </c>
      <c r="H140" s="7" t="s">
        <v>160</v>
      </c>
    </row>
    <row r="141" spans="1:8">
      <c r="A141" s="7" t="s">
        <v>199</v>
      </c>
      <c r="B141" s="7" t="s">
        <v>507</v>
      </c>
      <c r="C141" s="7" t="s">
        <v>32</v>
      </c>
      <c r="D141" s="7" t="s">
        <v>33</v>
      </c>
      <c r="E141" s="7" t="s">
        <v>25</v>
      </c>
      <c r="F141" s="7" t="s">
        <v>540</v>
      </c>
      <c r="G141" s="7" t="s">
        <v>541</v>
      </c>
      <c r="H141" s="7" t="s">
        <v>160</v>
      </c>
    </row>
    <row r="142" spans="1:8">
      <c r="A142" s="7" t="s">
        <v>199</v>
      </c>
      <c r="B142" s="7" t="s">
        <v>507</v>
      </c>
      <c r="C142" s="7" t="s">
        <v>41</v>
      </c>
      <c r="D142" s="7" t="s">
        <v>19</v>
      </c>
      <c r="E142" s="7" t="s">
        <v>25</v>
      </c>
      <c r="F142" s="7" t="s">
        <v>542</v>
      </c>
      <c r="G142" s="7" t="s">
        <v>543</v>
      </c>
      <c r="H142" s="7" t="s">
        <v>160</v>
      </c>
    </row>
    <row r="143" spans="1:8">
      <c r="A143" s="7" t="s">
        <v>199</v>
      </c>
      <c r="B143" s="7" t="s">
        <v>507</v>
      </c>
      <c r="C143" s="7" t="s">
        <v>46</v>
      </c>
      <c r="D143" s="7" t="s">
        <v>27</v>
      </c>
      <c r="E143" s="7" t="s">
        <v>20</v>
      </c>
      <c r="F143" s="7" t="s">
        <v>544</v>
      </c>
      <c r="G143" s="7" t="s">
        <v>545</v>
      </c>
      <c r="H143" s="7" t="s">
        <v>160</v>
      </c>
    </row>
    <row r="144" spans="1:8">
      <c r="A144" s="7" t="s">
        <v>207</v>
      </c>
      <c r="B144" s="7" t="s">
        <v>507</v>
      </c>
      <c r="C144" s="7" t="s">
        <v>26</v>
      </c>
      <c r="D144" s="7" t="s">
        <v>27</v>
      </c>
      <c r="E144" s="7" t="s">
        <v>25</v>
      </c>
      <c r="F144" s="7" t="s">
        <v>546</v>
      </c>
      <c r="G144" s="7" t="s">
        <v>547</v>
      </c>
      <c r="H144" s="7" t="s">
        <v>160</v>
      </c>
    </row>
    <row r="145" spans="1:8">
      <c r="A145" s="7" t="s">
        <v>207</v>
      </c>
      <c r="B145" s="7" t="s">
        <v>507</v>
      </c>
      <c r="C145" s="7" t="s">
        <v>23</v>
      </c>
      <c r="D145" s="7" t="s">
        <v>24</v>
      </c>
      <c r="E145" s="7" t="s">
        <v>25</v>
      </c>
      <c r="F145" s="7" t="s">
        <v>548</v>
      </c>
      <c r="G145" s="7" t="s">
        <v>549</v>
      </c>
      <c r="H145" s="7" t="s">
        <v>160</v>
      </c>
    </row>
    <row r="146" spans="1:8">
      <c r="A146" s="7" t="s">
        <v>207</v>
      </c>
      <c r="B146" s="7" t="s">
        <v>507</v>
      </c>
      <c r="C146" s="7" t="s">
        <v>83</v>
      </c>
      <c r="D146" s="7" t="s">
        <v>39</v>
      </c>
      <c r="E146" s="7" t="s">
        <v>25</v>
      </c>
      <c r="F146" s="7" t="s">
        <v>550</v>
      </c>
      <c r="G146" s="7" t="s">
        <v>551</v>
      </c>
      <c r="H146" s="7" t="s">
        <v>160</v>
      </c>
    </row>
    <row r="147" spans="1:8">
      <c r="A147" s="7" t="s">
        <v>207</v>
      </c>
      <c r="B147" s="7" t="s">
        <v>507</v>
      </c>
      <c r="C147" s="7" t="s">
        <v>82</v>
      </c>
      <c r="D147" s="7" t="s">
        <v>27</v>
      </c>
      <c r="E147" s="7" t="s">
        <v>35</v>
      </c>
      <c r="F147" s="7" t="s">
        <v>552</v>
      </c>
      <c r="G147" s="7" t="s">
        <v>553</v>
      </c>
      <c r="H147" s="7" t="s">
        <v>160</v>
      </c>
    </row>
    <row r="148" spans="1:8">
      <c r="A148" s="7" t="s">
        <v>215</v>
      </c>
      <c r="B148" s="7" t="s">
        <v>507</v>
      </c>
      <c r="C148" s="7" t="s">
        <v>26</v>
      </c>
      <c r="D148" s="7" t="s">
        <v>27</v>
      </c>
      <c r="E148" s="7" t="s">
        <v>25</v>
      </c>
      <c r="F148" s="7" t="s">
        <v>554</v>
      </c>
      <c r="G148" s="7" t="s">
        <v>555</v>
      </c>
      <c r="H148" s="7" t="s">
        <v>160</v>
      </c>
    </row>
    <row r="149" spans="1:8">
      <c r="A149" s="7" t="s">
        <v>215</v>
      </c>
      <c r="B149" s="7" t="s">
        <v>507</v>
      </c>
      <c r="C149" s="7" t="s">
        <v>47</v>
      </c>
      <c r="D149" s="7" t="s">
        <v>48</v>
      </c>
      <c r="E149" s="7" t="s">
        <v>25</v>
      </c>
      <c r="F149" s="7" t="s">
        <v>556</v>
      </c>
      <c r="G149" s="7" t="s">
        <v>557</v>
      </c>
      <c r="H149" s="7" t="s">
        <v>160</v>
      </c>
    </row>
    <row r="150" spans="1:8">
      <c r="A150" s="7" t="s">
        <v>215</v>
      </c>
      <c r="B150" s="7" t="s">
        <v>507</v>
      </c>
      <c r="C150" s="7" t="s">
        <v>30</v>
      </c>
      <c r="D150" s="7" t="s">
        <v>31</v>
      </c>
      <c r="E150" s="7" t="s">
        <v>25</v>
      </c>
      <c r="F150" s="7" t="s">
        <v>558</v>
      </c>
      <c r="G150" s="7" t="s">
        <v>559</v>
      </c>
      <c r="H150" s="7" t="s">
        <v>160</v>
      </c>
    </row>
    <row r="151" spans="1:8">
      <c r="A151" s="7" t="s">
        <v>215</v>
      </c>
      <c r="B151" s="7" t="s">
        <v>507</v>
      </c>
      <c r="C151" s="7" t="s">
        <v>84</v>
      </c>
      <c r="D151" s="7" t="s">
        <v>85</v>
      </c>
      <c r="E151" s="7" t="s">
        <v>25</v>
      </c>
      <c r="F151" s="7" t="s">
        <v>560</v>
      </c>
      <c r="G151" s="7" t="s">
        <v>561</v>
      </c>
      <c r="H151" s="7" t="s">
        <v>160</v>
      </c>
    </row>
    <row r="152" spans="1:8">
      <c r="A152" s="7" t="s">
        <v>221</v>
      </c>
      <c r="B152" s="7" t="s">
        <v>507</v>
      </c>
      <c r="C152" s="7" t="s">
        <v>32</v>
      </c>
      <c r="D152" s="7" t="s">
        <v>33</v>
      </c>
      <c r="E152" s="7" t="s">
        <v>25</v>
      </c>
      <c r="F152" s="7" t="s">
        <v>562</v>
      </c>
      <c r="G152" s="7" t="s">
        <v>563</v>
      </c>
      <c r="H152" s="7" t="s">
        <v>160</v>
      </c>
    </row>
    <row r="153" spans="1:8">
      <c r="A153" s="7" t="s">
        <v>221</v>
      </c>
      <c r="B153" s="7" t="s">
        <v>507</v>
      </c>
      <c r="C153" s="7" t="s">
        <v>49</v>
      </c>
      <c r="D153" s="7" t="s">
        <v>33</v>
      </c>
      <c r="E153" s="7" t="s">
        <v>40</v>
      </c>
      <c r="F153" s="7" t="s">
        <v>564</v>
      </c>
      <c r="G153" s="7" t="s">
        <v>565</v>
      </c>
      <c r="H153" s="7" t="s">
        <v>160</v>
      </c>
    </row>
    <row r="154" spans="1:8">
      <c r="A154" s="7" t="s">
        <v>227</v>
      </c>
      <c r="B154" s="7" t="s">
        <v>507</v>
      </c>
      <c r="C154" s="7" t="s">
        <v>23</v>
      </c>
      <c r="D154" s="7" t="s">
        <v>24</v>
      </c>
      <c r="E154" s="7" t="s">
        <v>25</v>
      </c>
      <c r="F154" s="7" t="s">
        <v>566</v>
      </c>
      <c r="G154" s="7" t="s">
        <v>567</v>
      </c>
      <c r="H154" s="7" t="s">
        <v>160</v>
      </c>
    </row>
    <row r="155" spans="1:8">
      <c r="A155" s="7" t="s">
        <v>227</v>
      </c>
      <c r="B155" s="7" t="s">
        <v>507</v>
      </c>
      <c r="C155" s="7" t="s">
        <v>86</v>
      </c>
      <c r="D155" s="7" t="s">
        <v>24</v>
      </c>
      <c r="E155" s="7" t="s">
        <v>35</v>
      </c>
      <c r="F155" s="7" t="s">
        <v>568</v>
      </c>
      <c r="G155" s="7" t="s">
        <v>569</v>
      </c>
      <c r="H155" s="7" t="s">
        <v>160</v>
      </c>
    </row>
    <row r="156" spans="1:8">
      <c r="A156" s="7" t="s">
        <v>227</v>
      </c>
      <c r="B156" s="7" t="s">
        <v>507</v>
      </c>
      <c r="C156" s="7" t="s">
        <v>34</v>
      </c>
      <c r="D156" s="7" t="s">
        <v>19</v>
      </c>
      <c r="E156" s="7" t="s">
        <v>35</v>
      </c>
      <c r="F156" s="7" t="s">
        <v>570</v>
      </c>
      <c r="G156" s="7" t="s">
        <v>571</v>
      </c>
      <c r="H156" s="7" t="s">
        <v>160</v>
      </c>
    </row>
    <row r="157" spans="1:8">
      <c r="A157" s="7" t="s">
        <v>227</v>
      </c>
      <c r="B157" s="7" t="s">
        <v>507</v>
      </c>
      <c r="C157" s="7" t="s">
        <v>18</v>
      </c>
      <c r="D157" s="7" t="s">
        <v>19</v>
      </c>
      <c r="E157" s="7" t="s">
        <v>20</v>
      </c>
      <c r="F157" s="7" t="s">
        <v>572</v>
      </c>
      <c r="G157" s="7" t="s">
        <v>573</v>
      </c>
      <c r="H157" s="7" t="s">
        <v>160</v>
      </c>
    </row>
    <row r="158" spans="1:8">
      <c r="A158" s="7" t="s">
        <v>237</v>
      </c>
      <c r="B158" s="7" t="s">
        <v>507</v>
      </c>
      <c r="C158" s="7" t="s">
        <v>44</v>
      </c>
      <c r="D158" s="7" t="s">
        <v>45</v>
      </c>
      <c r="E158" s="7" t="s">
        <v>25</v>
      </c>
      <c r="F158" s="7" t="s">
        <v>574</v>
      </c>
      <c r="G158" s="7" t="s">
        <v>575</v>
      </c>
      <c r="H158" s="7" t="s">
        <v>160</v>
      </c>
    </row>
    <row r="159" spans="1:8">
      <c r="A159" s="7" t="s">
        <v>237</v>
      </c>
      <c r="B159" s="7" t="s">
        <v>507</v>
      </c>
      <c r="C159" s="7" t="s">
        <v>50</v>
      </c>
      <c r="D159" s="7" t="s">
        <v>51</v>
      </c>
      <c r="E159" s="7" t="s">
        <v>25</v>
      </c>
      <c r="F159" s="7" t="s">
        <v>576</v>
      </c>
      <c r="G159" s="7" t="s">
        <v>577</v>
      </c>
      <c r="H159" s="7" t="s">
        <v>160</v>
      </c>
    </row>
    <row r="160" spans="1:8">
      <c r="A160" s="7" t="s">
        <v>237</v>
      </c>
      <c r="B160" s="7" t="s">
        <v>507</v>
      </c>
      <c r="C160" s="7" t="s">
        <v>36</v>
      </c>
      <c r="D160" s="7" t="s">
        <v>37</v>
      </c>
      <c r="E160" s="7" t="s">
        <v>25</v>
      </c>
      <c r="F160" s="7" t="s">
        <v>578</v>
      </c>
      <c r="G160" s="7" t="s">
        <v>579</v>
      </c>
      <c r="H160" s="7" t="s">
        <v>160</v>
      </c>
    </row>
    <row r="161" spans="1:8">
      <c r="A161" s="7" t="s">
        <v>247</v>
      </c>
      <c r="B161" s="7" t="s">
        <v>507</v>
      </c>
      <c r="C161" s="7" t="s">
        <v>47</v>
      </c>
      <c r="D161" s="7" t="s">
        <v>48</v>
      </c>
      <c r="E161" s="7" t="s">
        <v>25</v>
      </c>
      <c r="F161" s="7" t="s">
        <v>580</v>
      </c>
      <c r="G161" s="7" t="s">
        <v>581</v>
      </c>
      <c r="H161" s="7" t="s">
        <v>160</v>
      </c>
    </row>
    <row r="162" spans="1:8">
      <c r="A162" s="7" t="s">
        <v>247</v>
      </c>
      <c r="B162" s="7" t="s">
        <v>507</v>
      </c>
      <c r="C162" s="7" t="s">
        <v>90</v>
      </c>
      <c r="D162" s="7" t="s">
        <v>91</v>
      </c>
      <c r="E162" s="7" t="s">
        <v>25</v>
      </c>
      <c r="F162" s="7" t="s">
        <v>582</v>
      </c>
      <c r="G162" s="7" t="s">
        <v>583</v>
      </c>
      <c r="H162" s="7" t="s">
        <v>160</v>
      </c>
    </row>
    <row r="163" spans="1:8">
      <c r="A163" s="7" t="s">
        <v>247</v>
      </c>
      <c r="B163" s="7" t="s">
        <v>507</v>
      </c>
      <c r="C163" s="7" t="s">
        <v>38</v>
      </c>
      <c r="D163" s="7" t="s">
        <v>39</v>
      </c>
      <c r="E163" s="7" t="s">
        <v>40</v>
      </c>
      <c r="F163" s="7" t="s">
        <v>584</v>
      </c>
      <c r="G163" s="7" t="s">
        <v>585</v>
      </c>
      <c r="H163" s="7" t="s">
        <v>160</v>
      </c>
    </row>
    <row r="164" spans="1:8">
      <c r="A164" s="7" t="s">
        <v>247</v>
      </c>
      <c r="B164" s="7" t="s">
        <v>507</v>
      </c>
      <c r="C164" s="7" t="s">
        <v>92</v>
      </c>
      <c r="D164" s="7" t="s">
        <v>93</v>
      </c>
      <c r="E164" s="7" t="s">
        <v>89</v>
      </c>
      <c r="F164" s="7" t="s">
        <v>586</v>
      </c>
      <c r="G164" s="7" t="s">
        <v>587</v>
      </c>
      <c r="H164" s="7" t="s">
        <v>160</v>
      </c>
    </row>
    <row r="165" spans="1:8">
      <c r="A165" s="7" t="s">
        <v>247</v>
      </c>
      <c r="B165" s="7" t="s">
        <v>507</v>
      </c>
      <c r="C165" s="7" t="s">
        <v>87</v>
      </c>
      <c r="D165" s="7" t="s">
        <v>88</v>
      </c>
      <c r="E165" s="7" t="s">
        <v>89</v>
      </c>
      <c r="F165" s="7" t="s">
        <v>588</v>
      </c>
      <c r="G165" s="7" t="s">
        <v>589</v>
      </c>
      <c r="H165" s="7" t="s">
        <v>160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6"/>
  <sheetViews>
    <sheetView showGridLines="0" tabSelected="1" topLeftCell="A14" workbookViewId="0">
      <selection activeCell="B21" sqref="B21:B35"/>
    </sheetView>
  </sheetViews>
  <sheetFormatPr defaultRowHeight="13.8"/>
  <cols>
    <col min="1" max="1" width="8" customWidth="1"/>
    <col min="2" max="2" width="120" customWidth="1"/>
  </cols>
  <sheetData>
    <row r="1" spans="1:2" ht="30" customHeight="1">
      <c r="A1" s="22" t="s">
        <v>590</v>
      </c>
      <c r="B1" s="22" t="s">
        <v>590</v>
      </c>
    </row>
    <row r="2" spans="1:2" ht="14.4">
      <c r="A2" s="26" t="s">
        <v>591</v>
      </c>
      <c r="B2" s="24"/>
    </row>
    <row r="4" spans="1:2" ht="30" customHeight="1">
      <c r="A4" s="1" t="s">
        <v>592</v>
      </c>
      <c r="B4" s="3" t="s">
        <v>593</v>
      </c>
    </row>
    <row r="5" spans="1:2">
      <c r="A5" s="5">
        <v>1</v>
      </c>
      <c r="B5" s="20" t="s">
        <v>594</v>
      </c>
    </row>
    <row r="6" spans="1:2">
      <c r="A6" s="7">
        <v>2</v>
      </c>
      <c r="B6" s="21" t="s">
        <v>595</v>
      </c>
    </row>
    <row r="7" spans="1:2">
      <c r="A7" s="7">
        <v>3</v>
      </c>
      <c r="B7" s="21" t="s">
        <v>596</v>
      </c>
    </row>
    <row r="8" spans="1:2">
      <c r="A8" s="7">
        <v>4</v>
      </c>
      <c r="B8" s="21" t="s">
        <v>597</v>
      </c>
    </row>
    <row r="9" spans="1:2">
      <c r="A9" s="7">
        <v>5</v>
      </c>
      <c r="B9" s="21" t="s">
        <v>598</v>
      </c>
    </row>
    <row r="10" spans="1:2">
      <c r="A10" s="7">
        <v>6</v>
      </c>
      <c r="B10" s="21" t="s">
        <v>599</v>
      </c>
    </row>
    <row r="11" spans="1:2">
      <c r="A11" s="7">
        <v>7</v>
      </c>
      <c r="B11" s="21" t="s">
        <v>600</v>
      </c>
    </row>
    <row r="12" spans="1:2">
      <c r="A12" s="7">
        <v>8</v>
      </c>
      <c r="B12" s="21" t="s">
        <v>601</v>
      </c>
    </row>
    <row r="13" spans="1:2">
      <c r="A13" s="7">
        <v>9</v>
      </c>
      <c r="B13" s="21" t="s">
        <v>602</v>
      </c>
    </row>
    <row r="14" spans="1:2">
      <c r="A14" s="7">
        <v>10</v>
      </c>
      <c r="B14" s="21" t="s">
        <v>603</v>
      </c>
    </row>
    <row r="15" spans="1:2">
      <c r="A15" s="7">
        <v>11</v>
      </c>
      <c r="B15" s="21" t="s">
        <v>604</v>
      </c>
    </row>
    <row r="16" spans="1:2">
      <c r="A16" s="7">
        <v>12</v>
      </c>
      <c r="B16" s="21" t="s">
        <v>605</v>
      </c>
    </row>
    <row r="17" spans="1:2">
      <c r="A17" s="7">
        <v>13</v>
      </c>
      <c r="B17" s="21" t="s">
        <v>606</v>
      </c>
    </row>
    <row r="18" spans="1:2">
      <c r="A18" s="7">
        <v>14</v>
      </c>
      <c r="B18" s="21" t="s">
        <v>607</v>
      </c>
    </row>
    <row r="19" spans="1:2">
      <c r="A19" s="7">
        <v>15</v>
      </c>
      <c r="B19" s="21" t="s">
        <v>608</v>
      </c>
    </row>
    <row r="20" spans="1:2">
      <c r="A20" s="7">
        <v>16</v>
      </c>
      <c r="B20" s="21" t="s">
        <v>609</v>
      </c>
    </row>
    <row r="21" spans="1:2">
      <c r="A21" s="7">
        <v>17</v>
      </c>
      <c r="B21" s="21" t="s">
        <v>610</v>
      </c>
    </row>
    <row r="22" spans="1:2">
      <c r="A22" s="7">
        <v>18</v>
      </c>
      <c r="B22" s="21" t="s">
        <v>611</v>
      </c>
    </row>
    <row r="23" spans="1:2">
      <c r="A23" s="7">
        <v>19</v>
      </c>
      <c r="B23" s="21" t="s">
        <v>597</v>
      </c>
    </row>
    <row r="24" spans="1:2">
      <c r="A24" s="7">
        <v>20</v>
      </c>
      <c r="B24" s="21" t="s">
        <v>598</v>
      </c>
    </row>
    <row r="25" spans="1:2">
      <c r="A25" s="7">
        <v>21</v>
      </c>
      <c r="B25" s="21" t="s">
        <v>599</v>
      </c>
    </row>
    <row r="26" spans="1:2">
      <c r="A26" s="7">
        <v>22</v>
      </c>
      <c r="B26" s="21" t="s">
        <v>600</v>
      </c>
    </row>
    <row r="27" spans="1:2">
      <c r="A27" s="7">
        <v>23</v>
      </c>
      <c r="B27" s="21" t="s">
        <v>601</v>
      </c>
    </row>
    <row r="28" spans="1:2">
      <c r="A28" s="7">
        <v>24</v>
      </c>
      <c r="B28" s="21" t="s">
        <v>602</v>
      </c>
    </row>
    <row r="29" spans="1:2">
      <c r="A29" s="7">
        <v>25</v>
      </c>
      <c r="B29" s="21" t="s">
        <v>612</v>
      </c>
    </row>
    <row r="30" spans="1:2">
      <c r="A30" s="7">
        <v>26</v>
      </c>
      <c r="B30" s="21" t="s">
        <v>613</v>
      </c>
    </row>
    <row r="31" spans="1:2">
      <c r="A31" s="7">
        <v>27</v>
      </c>
      <c r="B31" s="21" t="s">
        <v>605</v>
      </c>
    </row>
    <row r="32" spans="1:2">
      <c r="A32" s="7">
        <v>28</v>
      </c>
      <c r="B32" s="21" t="s">
        <v>614</v>
      </c>
    </row>
    <row r="33" spans="1:2">
      <c r="A33" s="7">
        <v>29</v>
      </c>
      <c r="B33" s="21" t="s">
        <v>615</v>
      </c>
    </row>
    <row r="34" spans="1:2">
      <c r="A34" s="7">
        <v>30</v>
      </c>
      <c r="B34" s="21" t="s">
        <v>608</v>
      </c>
    </row>
    <row r="35" spans="1:2">
      <c r="A35" s="7">
        <v>31</v>
      </c>
      <c r="B35" s="21" t="s">
        <v>609</v>
      </c>
    </row>
    <row r="36" spans="1:2">
      <c r="A36" s="7">
        <v>32</v>
      </c>
      <c r="B36" s="21" t="s">
        <v>616</v>
      </c>
    </row>
    <row r="37" spans="1:2">
      <c r="A37" s="7">
        <v>33</v>
      </c>
      <c r="B37" s="21" t="s">
        <v>596</v>
      </c>
    </row>
    <row r="38" spans="1:2">
      <c r="A38" s="7">
        <v>34</v>
      </c>
      <c r="B38" s="21" t="s">
        <v>597</v>
      </c>
    </row>
    <row r="39" spans="1:2">
      <c r="A39" s="7">
        <v>35</v>
      </c>
      <c r="B39" s="21" t="s">
        <v>598</v>
      </c>
    </row>
    <row r="40" spans="1:2">
      <c r="A40" s="7">
        <v>36</v>
      </c>
      <c r="B40" s="21" t="s">
        <v>599</v>
      </c>
    </row>
    <row r="41" spans="1:2">
      <c r="A41" s="7">
        <v>37</v>
      </c>
      <c r="B41" s="21" t="s">
        <v>600</v>
      </c>
    </row>
    <row r="42" spans="1:2">
      <c r="A42" s="7">
        <v>38</v>
      </c>
      <c r="B42" s="21" t="s">
        <v>601</v>
      </c>
    </row>
    <row r="43" spans="1:2">
      <c r="A43" s="7">
        <v>39</v>
      </c>
      <c r="B43" s="21" t="s">
        <v>617</v>
      </c>
    </row>
    <row r="44" spans="1:2">
      <c r="A44" s="7">
        <v>40</v>
      </c>
      <c r="B44" s="21" t="s">
        <v>612</v>
      </c>
    </row>
    <row r="45" spans="1:2">
      <c r="A45" s="7">
        <v>41</v>
      </c>
      <c r="B45" s="21" t="s">
        <v>618</v>
      </c>
    </row>
    <row r="46" spans="1:2">
      <c r="A46" s="7">
        <v>42</v>
      </c>
      <c r="B46" s="21" t="s">
        <v>619</v>
      </c>
    </row>
    <row r="47" spans="1:2">
      <c r="A47" s="7">
        <v>43</v>
      </c>
      <c r="B47" s="21" t="s">
        <v>614</v>
      </c>
    </row>
    <row r="48" spans="1:2">
      <c r="A48" s="7">
        <v>44</v>
      </c>
      <c r="B48" s="21" t="s">
        <v>620</v>
      </c>
    </row>
    <row r="49" spans="1:2">
      <c r="A49" s="7">
        <v>45</v>
      </c>
      <c r="B49" s="21" t="s">
        <v>608</v>
      </c>
    </row>
    <row r="50" spans="1:2">
      <c r="A50" s="7">
        <v>46</v>
      </c>
      <c r="B50" s="21" t="s">
        <v>609</v>
      </c>
    </row>
    <row r="51" spans="1:2">
      <c r="A51" s="7">
        <v>47</v>
      </c>
      <c r="B51" s="21" t="s">
        <v>621</v>
      </c>
    </row>
    <row r="52" spans="1:2">
      <c r="A52" s="7">
        <v>48</v>
      </c>
      <c r="B52" s="21" t="s">
        <v>611</v>
      </c>
    </row>
    <row r="53" spans="1:2">
      <c r="A53" s="7">
        <v>49</v>
      </c>
      <c r="B53" s="21" t="s">
        <v>597</v>
      </c>
    </row>
    <row r="54" spans="1:2">
      <c r="A54" s="7">
        <v>50</v>
      </c>
      <c r="B54" s="21" t="s">
        <v>598</v>
      </c>
    </row>
    <row r="55" spans="1:2">
      <c r="A55" s="7">
        <v>51</v>
      </c>
      <c r="B55" s="21" t="s">
        <v>622</v>
      </c>
    </row>
    <row r="56" spans="1:2">
      <c r="A56" s="7">
        <v>52</v>
      </c>
      <c r="B56" s="21" t="s">
        <v>600</v>
      </c>
    </row>
    <row r="57" spans="1:2">
      <c r="A57" s="7">
        <v>53</v>
      </c>
      <c r="B57" s="21" t="s">
        <v>601</v>
      </c>
    </row>
    <row r="58" spans="1:2">
      <c r="A58" s="7">
        <v>54</v>
      </c>
      <c r="B58" s="21" t="s">
        <v>617</v>
      </c>
    </row>
    <row r="59" spans="1:2">
      <c r="A59" s="7">
        <v>55</v>
      </c>
      <c r="B59" s="21" t="s">
        <v>612</v>
      </c>
    </row>
    <row r="60" spans="1:2">
      <c r="A60" s="7">
        <v>56</v>
      </c>
      <c r="B60" s="21" t="s">
        <v>618</v>
      </c>
    </row>
    <row r="61" spans="1:2">
      <c r="A61" s="7">
        <v>57</v>
      </c>
      <c r="B61" s="21" t="s">
        <v>619</v>
      </c>
    </row>
    <row r="62" spans="1:2">
      <c r="A62" s="7">
        <v>58</v>
      </c>
      <c r="B62" s="21" t="s">
        <v>614</v>
      </c>
    </row>
    <row r="63" spans="1:2">
      <c r="A63" s="7">
        <v>59</v>
      </c>
      <c r="B63" s="21" t="s">
        <v>620</v>
      </c>
    </row>
    <row r="64" spans="1:2">
      <c r="A64" s="7">
        <v>60</v>
      </c>
      <c r="B64" s="21" t="s">
        <v>608</v>
      </c>
    </row>
    <row r="65" spans="1:2">
      <c r="A65" s="7">
        <v>61</v>
      </c>
      <c r="B65" s="21" t="s">
        <v>609</v>
      </c>
    </row>
    <row r="66" spans="1:2">
      <c r="A66" s="7">
        <v>62</v>
      </c>
      <c r="B66" s="21" t="s">
        <v>623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Selected_Config</vt:lpstr>
      <vt:lpstr>Combined_Evidence</vt:lpstr>
      <vt:lpstr>Rules</vt:lpstr>
      <vt:lpstr>AICC_Evidence</vt:lpstr>
      <vt:lpstr>Source_AICC</vt:lpstr>
      <vt:lpstr>Source_sMAPE</vt:lpstr>
      <vt:lpstr>Config_Python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Sedigheh Mirzaei</cp:lastModifiedBy>
  <dcterms:modified xsi:type="dcterms:W3CDTF">2026-09-01T08:56:23Z</dcterms:modified>
</cp:coreProperties>
</file>